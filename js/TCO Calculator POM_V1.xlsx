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veldm\Downloads\"/>
    </mc:Choice>
  </mc:AlternateContent>
  <xr:revisionPtr revIDLastSave="0" documentId="8_{840FE6B7-1FB4-4D77-9AC5-6CA19A13BA48}" xr6:coauthVersionLast="47" xr6:coauthVersionMax="47" xr10:uidLastSave="{00000000-0000-0000-0000-000000000000}"/>
  <bookViews>
    <workbookView xWindow="28680" yWindow="-120" windowWidth="29040" windowHeight="15720" xr2:uid="{00000000-000D-0000-FFFF-FFFF00000000}"/>
  </bookViews>
  <sheets>
    <sheet name="INPUT" sheetId="10" r:id="rId1"/>
    <sheet name="Kenmerken" sheetId="9" state="hidden" r:id="rId2"/>
    <sheet name="Sheet1" sheetId="1" state="hidden" r:id="rId3"/>
    <sheet name="PO TCO" sheetId="2" state="hidden" r:id="rId4"/>
    <sheet name="Vormfactoren" sheetId="5" state="hidden" r:id="rId5"/>
    <sheet name="keuzevelden" sheetId="8" state="hidden" r:id="rId6"/>
    <sheet name="Elementclusters" sheetId="6" state="hidden" r:id="rId7"/>
    <sheet name="Calculatie" sheetId="7" state="hidden" r:id="rId8"/>
    <sheet name="PO BASIS" sheetId="3" state="hidden" r:id="rId9"/>
    <sheet name="TCO OUTPUT" sheetId="4" r:id="rId10"/>
  </sheets>
  <definedNames>
    <definedName name="_xlnm._FilterDatabase" localSheetId="6" hidden="1">Elementclusters!$D$24:$D$38</definedName>
    <definedName name="_xlnm._FilterDatabase" localSheetId="1" hidden="1">Kenmerken!$A$2:$M$134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7" i="6" l="1"/>
  <c r="W67" i="6"/>
  <c r="V67" i="6"/>
  <c r="U67" i="6"/>
  <c r="T67" i="6"/>
  <c r="S67" i="6"/>
  <c r="X66" i="6"/>
  <c r="W66" i="6"/>
  <c r="V66" i="6"/>
  <c r="U66" i="6"/>
  <c r="T66" i="6"/>
  <c r="S66" i="6"/>
  <c r="X65" i="6"/>
  <c r="W65" i="6"/>
  <c r="V65" i="6"/>
  <c r="U65" i="6"/>
  <c r="T65" i="6"/>
  <c r="S65" i="6"/>
  <c r="X64" i="6"/>
  <c r="W64" i="6"/>
  <c r="V64" i="6"/>
  <c r="U64" i="6"/>
  <c r="T64" i="6"/>
  <c r="S64" i="6"/>
  <c r="X63" i="6"/>
  <c r="W63" i="6"/>
  <c r="V63" i="6"/>
  <c r="U63" i="6"/>
  <c r="T63" i="6"/>
  <c r="S63" i="6"/>
  <c r="X62" i="6"/>
  <c r="W62" i="6"/>
  <c r="V62" i="6"/>
  <c r="U62" i="6"/>
  <c r="T62" i="6"/>
  <c r="S62" i="6"/>
  <c r="X61" i="6"/>
  <c r="W61" i="6"/>
  <c r="V61" i="6"/>
  <c r="U61" i="6"/>
  <c r="T61" i="6"/>
  <c r="S61" i="6"/>
  <c r="E26" i="5"/>
  <c r="B6" i="4"/>
  <c r="B35" i="7"/>
  <c r="B34" i="7"/>
  <c r="B33" i="7"/>
  <c r="B32" i="7"/>
  <c r="B31" i="7"/>
  <c r="B30" i="7"/>
  <c r="B29" i="7"/>
  <c r="B28" i="7"/>
  <c r="B27" i="7"/>
  <c r="E22" i="5"/>
  <c r="E21" i="5"/>
  <c r="R21" i="6"/>
  <c r="Q21" i="6"/>
  <c r="P21" i="6"/>
  <c r="R20" i="6"/>
  <c r="Q20" i="6"/>
  <c r="P20" i="6"/>
  <c r="R16" i="6"/>
  <c r="P16" i="6"/>
  <c r="Q16" i="6"/>
  <c r="R15" i="6"/>
  <c r="Q15" i="6"/>
  <c r="P15" i="6"/>
  <c r="R14" i="6"/>
  <c r="Q14" i="6"/>
  <c r="P14" i="6"/>
  <c r="R13" i="6"/>
  <c r="Q13" i="6"/>
  <c r="P13" i="6"/>
  <c r="R10" i="6"/>
  <c r="P10" i="6"/>
  <c r="R9" i="6"/>
  <c r="P9" i="6"/>
  <c r="C25" i="6"/>
  <c r="C26" i="6"/>
  <c r="D26" i="6" s="1"/>
  <c r="L26" i="6" s="1"/>
  <c r="C27" i="6"/>
  <c r="D27" i="6" s="1"/>
  <c r="L27" i="6" s="1"/>
  <c r="C28" i="6"/>
  <c r="D28" i="6" s="1"/>
  <c r="L28" i="6" s="1"/>
  <c r="C29" i="6"/>
  <c r="C46" i="6" s="1"/>
  <c r="C27" i="4" s="1"/>
  <c r="C30" i="6"/>
  <c r="C47" i="6" s="1"/>
  <c r="C28" i="4" s="1"/>
  <c r="C31" i="6"/>
  <c r="C48" i="6" s="1"/>
  <c r="C29" i="4" s="1"/>
  <c r="C32" i="6"/>
  <c r="D32" i="6" s="1"/>
  <c r="C33" i="6"/>
  <c r="D33" i="6" s="1"/>
  <c r="L33" i="6" s="1"/>
  <c r="L50" i="6" s="1"/>
  <c r="C34" i="6"/>
  <c r="D34" i="6" s="1"/>
  <c r="L34" i="6" s="1"/>
  <c r="C35" i="6"/>
  <c r="C52" i="6" s="1"/>
  <c r="C33" i="4" s="1"/>
  <c r="C36" i="6"/>
  <c r="C37" i="6"/>
  <c r="D37" i="6" s="1"/>
  <c r="L37" i="6" s="1"/>
  <c r="C38" i="6"/>
  <c r="D38" i="6" s="1"/>
  <c r="L38" i="6" s="1"/>
  <c r="C24" i="6"/>
  <c r="D24" i="6" s="1"/>
  <c r="L24" i="6" s="1"/>
  <c r="L41" i="6" s="1"/>
  <c r="AC2" i="6"/>
  <c r="Z2" i="6"/>
  <c r="Z23" i="6" s="1"/>
  <c r="Z40" i="6" s="1"/>
  <c r="B2" i="5"/>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B36" i="4"/>
  <c r="B35" i="4"/>
  <c r="B34" i="4"/>
  <c r="B33" i="4"/>
  <c r="B32" i="4"/>
  <c r="B31" i="4"/>
  <c r="B30" i="4"/>
  <c r="B29" i="4"/>
  <c r="B28" i="4"/>
  <c r="B27" i="4"/>
  <c r="B26" i="4"/>
  <c r="B25" i="4"/>
  <c r="B24" i="4"/>
  <c r="B23" i="4"/>
  <c r="B22" i="4"/>
  <c r="B16" i="4"/>
  <c r="B15" i="4"/>
  <c r="E25" i="5"/>
  <c r="E24" i="5"/>
  <c r="E23" i="5"/>
  <c r="E18" i="5"/>
  <c r="W2" i="6"/>
  <c r="W23" i="6" s="1"/>
  <c r="W40" i="6" s="1"/>
  <c r="T2" i="6"/>
  <c r="T23" i="6" s="1"/>
  <c r="T40" i="6" s="1"/>
  <c r="S17" i="6"/>
  <c r="V17" i="6" s="1"/>
  <c r="W17" i="6" s="1"/>
  <c r="X17" i="6" s="1"/>
  <c r="U7" i="6"/>
  <c r="AC23" i="6"/>
  <c r="AC40" i="6" s="1"/>
  <c r="E55" i="6"/>
  <c r="F55" i="6"/>
  <c r="G55" i="6"/>
  <c r="H55" i="6"/>
  <c r="I55" i="6"/>
  <c r="J55" i="6"/>
  <c r="K55" i="6"/>
  <c r="E54" i="6"/>
  <c r="F54" i="6"/>
  <c r="G54" i="6"/>
  <c r="H54" i="6"/>
  <c r="I54" i="6"/>
  <c r="J54" i="6"/>
  <c r="K54" i="6"/>
  <c r="E53" i="6"/>
  <c r="F53" i="6"/>
  <c r="G53" i="6"/>
  <c r="H53" i="6"/>
  <c r="I53" i="6"/>
  <c r="J53" i="6"/>
  <c r="K53" i="6"/>
  <c r="E52" i="6"/>
  <c r="F52" i="6"/>
  <c r="G52" i="6"/>
  <c r="H52" i="6"/>
  <c r="I52" i="6"/>
  <c r="J52" i="6"/>
  <c r="K52" i="6"/>
  <c r="E51" i="6"/>
  <c r="F51" i="6"/>
  <c r="G51" i="6"/>
  <c r="H51" i="6"/>
  <c r="I51" i="6"/>
  <c r="J51" i="6"/>
  <c r="K51" i="6"/>
  <c r="E50" i="6"/>
  <c r="F50" i="6"/>
  <c r="G50" i="6"/>
  <c r="H50" i="6"/>
  <c r="I50" i="6"/>
  <c r="J50" i="6"/>
  <c r="K50" i="6"/>
  <c r="E49" i="6"/>
  <c r="F49" i="6"/>
  <c r="G49" i="6"/>
  <c r="H49" i="6"/>
  <c r="I49" i="6"/>
  <c r="J49" i="6"/>
  <c r="K49" i="6"/>
  <c r="E48" i="6"/>
  <c r="F48" i="6"/>
  <c r="G48" i="6"/>
  <c r="H48" i="6"/>
  <c r="I48" i="6"/>
  <c r="J48" i="6"/>
  <c r="K48" i="6"/>
  <c r="E47" i="6"/>
  <c r="F47" i="6"/>
  <c r="G47" i="6"/>
  <c r="H47" i="6"/>
  <c r="I47" i="6"/>
  <c r="J47" i="6"/>
  <c r="K47" i="6"/>
  <c r="E46" i="6"/>
  <c r="F46" i="6"/>
  <c r="G46" i="6"/>
  <c r="H46" i="6"/>
  <c r="I46" i="6"/>
  <c r="J46" i="6"/>
  <c r="K46" i="6"/>
  <c r="E45" i="6"/>
  <c r="F45" i="6"/>
  <c r="G45" i="6"/>
  <c r="H45" i="6"/>
  <c r="I45" i="6"/>
  <c r="J45" i="6"/>
  <c r="K45" i="6"/>
  <c r="E44" i="6"/>
  <c r="F44" i="6"/>
  <c r="G44" i="6"/>
  <c r="H44" i="6"/>
  <c r="I44" i="6"/>
  <c r="J44" i="6"/>
  <c r="K44" i="6"/>
  <c r="E43" i="6"/>
  <c r="F43" i="6"/>
  <c r="G43" i="6"/>
  <c r="H43" i="6"/>
  <c r="I43" i="6"/>
  <c r="J43" i="6"/>
  <c r="K43" i="6"/>
  <c r="E42" i="6"/>
  <c r="F42" i="6"/>
  <c r="G42" i="6"/>
  <c r="H42" i="6"/>
  <c r="I42" i="6"/>
  <c r="J42" i="6"/>
  <c r="K42" i="6"/>
  <c r="E41" i="6"/>
  <c r="F41" i="6"/>
  <c r="G41" i="6"/>
  <c r="H41" i="6"/>
  <c r="I41" i="6"/>
  <c r="J41" i="6"/>
  <c r="K41" i="6"/>
  <c r="C42" i="6"/>
  <c r="C23" i="4" s="1"/>
  <c r="C50" i="6"/>
  <c r="C31" i="4" s="1"/>
  <c r="C53" i="6"/>
  <c r="C34" i="4" s="1"/>
  <c r="C55" i="6"/>
  <c r="C36" i="4" s="1"/>
  <c r="D25" i="6"/>
  <c r="D36" i="6"/>
  <c r="L36" i="6" s="1"/>
  <c r="AA36" i="6" s="1"/>
  <c r="AA53" i="6" s="1"/>
  <c r="E19" i="5" l="1"/>
  <c r="E20" i="5"/>
  <c r="C41" i="6"/>
  <c r="C22" i="4" s="1"/>
  <c r="C54" i="6"/>
  <c r="C35" i="4" s="1"/>
  <c r="C49" i="6"/>
  <c r="C30" i="4" s="1"/>
  <c r="D30" i="6"/>
  <c r="L30" i="6" s="1"/>
  <c r="D29" i="6"/>
  <c r="L29" i="6" s="1"/>
  <c r="AC29" i="6" s="1"/>
  <c r="AC46" i="6" s="1"/>
  <c r="C45" i="6"/>
  <c r="C26" i="4" s="1"/>
  <c r="C44" i="6"/>
  <c r="C25" i="4" s="1"/>
  <c r="X5" i="6"/>
  <c r="C43" i="6"/>
  <c r="C24" i="4" s="1"/>
  <c r="P28" i="6"/>
  <c r="P45" i="6" s="1"/>
  <c r="R28" i="6"/>
  <c r="R45" i="6" s="1"/>
  <c r="AD37" i="6"/>
  <c r="AD54" i="6" s="1"/>
  <c r="Q37" i="6"/>
  <c r="Q54" i="6" s="1"/>
  <c r="P37" i="6"/>
  <c r="P54" i="6" s="1"/>
  <c r="Z37" i="6"/>
  <c r="Z54" i="6" s="1"/>
  <c r="AA37" i="6"/>
  <c r="AA54" i="6" s="1"/>
  <c r="AB37" i="6"/>
  <c r="AB54" i="6" s="1"/>
  <c r="R37" i="6"/>
  <c r="R54" i="6" s="1"/>
  <c r="Y37" i="6"/>
  <c r="Y54" i="6" s="1"/>
  <c r="AC37" i="6"/>
  <c r="AC54" i="6" s="1"/>
  <c r="R34" i="6"/>
  <c r="R51" i="6" s="1"/>
  <c r="Q34" i="6"/>
  <c r="Q51" i="6" s="1"/>
  <c r="Y34" i="6"/>
  <c r="Y51" i="6" s="1"/>
  <c r="P34" i="6"/>
  <c r="P51" i="6" s="1"/>
  <c r="AA34" i="6"/>
  <c r="AA51" i="6" s="1"/>
  <c r="AB34" i="6"/>
  <c r="AB51" i="6" s="1"/>
  <c r="AC34" i="6"/>
  <c r="AC51" i="6" s="1"/>
  <c r="AD34" i="6"/>
  <c r="AD51" i="6" s="1"/>
  <c r="Z34" i="6"/>
  <c r="Z51" i="6" s="1"/>
  <c r="C51" i="6"/>
  <c r="C32" i="4" s="1"/>
  <c r="AB36" i="6"/>
  <c r="AB53" i="6" s="1"/>
  <c r="R33" i="6"/>
  <c r="R50" i="6" s="1"/>
  <c r="Q33" i="6"/>
  <c r="Q50" i="6" s="1"/>
  <c r="Z36" i="6"/>
  <c r="Z53" i="6" s="1"/>
  <c r="R38" i="6"/>
  <c r="R55" i="6" s="1"/>
  <c r="AD33" i="6"/>
  <c r="AD50" i="6" s="1"/>
  <c r="P33" i="6"/>
  <c r="P50" i="6" s="1"/>
  <c r="Y36" i="6"/>
  <c r="Y53" i="6" s="1"/>
  <c r="Q38" i="6"/>
  <c r="Q55" i="6" s="1"/>
  <c r="AC33" i="6"/>
  <c r="AC50" i="6" s="1"/>
  <c r="AD38" i="6"/>
  <c r="AD55" i="6" s="1"/>
  <c r="P38" i="6"/>
  <c r="P55" i="6" s="1"/>
  <c r="AC38" i="6"/>
  <c r="AC55" i="6" s="1"/>
  <c r="AA33" i="6"/>
  <c r="AA50" i="6" s="1"/>
  <c r="AB38" i="6"/>
  <c r="AB55" i="6" s="1"/>
  <c r="AB33" i="6"/>
  <c r="AB50" i="6" s="1"/>
  <c r="AA38" i="6"/>
  <c r="AA55" i="6" s="1"/>
  <c r="R36" i="6"/>
  <c r="R53" i="6" s="1"/>
  <c r="Y38" i="6"/>
  <c r="Y55" i="6" s="1"/>
  <c r="Q36" i="6"/>
  <c r="Q53" i="6" s="1"/>
  <c r="Y33" i="6"/>
  <c r="Y50" i="6" s="1"/>
  <c r="Z38" i="6"/>
  <c r="Z55" i="6" s="1"/>
  <c r="AD36" i="6"/>
  <c r="AD53" i="6" s="1"/>
  <c r="P36" i="6"/>
  <c r="P53" i="6" s="1"/>
  <c r="Z33" i="6"/>
  <c r="Z50" i="6" s="1"/>
  <c r="AC36" i="6"/>
  <c r="AC53" i="6" s="1"/>
  <c r="Z26" i="6"/>
  <c r="Z43" i="6" s="1"/>
  <c r="Q28" i="6"/>
  <c r="Q45" i="6" s="1"/>
  <c r="AD28" i="6"/>
  <c r="AD45" i="6" s="1"/>
  <c r="AB28" i="6"/>
  <c r="AB45" i="6" s="1"/>
  <c r="AA28" i="6"/>
  <c r="AA45" i="6" s="1"/>
  <c r="Z28" i="6"/>
  <c r="Z45" i="6" s="1"/>
  <c r="Y28" i="6"/>
  <c r="Y45" i="6" s="1"/>
  <c r="AC28" i="6"/>
  <c r="AC45" i="6" s="1"/>
  <c r="R26" i="6"/>
  <c r="R43" i="6" s="1"/>
  <c r="Q26" i="6"/>
  <c r="Q43" i="6" s="1"/>
  <c r="AC26" i="6"/>
  <c r="AC43" i="6" s="1"/>
  <c r="AB26" i="6"/>
  <c r="AB43" i="6" s="1"/>
  <c r="AD26" i="6"/>
  <c r="AD43" i="6" s="1"/>
  <c r="P26" i="6"/>
  <c r="P43" i="6" s="1"/>
  <c r="AA26" i="6"/>
  <c r="AA43" i="6" s="1"/>
  <c r="Y26" i="6"/>
  <c r="Y43" i="6" s="1"/>
  <c r="R27" i="6"/>
  <c r="R44" i="6" s="1"/>
  <c r="Q27" i="6"/>
  <c r="Q44" i="6" s="1"/>
  <c r="AD27" i="6"/>
  <c r="AD44" i="6" s="1"/>
  <c r="P27" i="6"/>
  <c r="P44" i="6" s="1"/>
  <c r="AC27" i="6"/>
  <c r="AC44" i="6" s="1"/>
  <c r="AB27" i="6"/>
  <c r="AB44" i="6" s="1"/>
  <c r="AA27" i="6"/>
  <c r="AA44" i="6" s="1"/>
  <c r="Z27" i="6"/>
  <c r="Z44" i="6" s="1"/>
  <c r="Y27" i="6"/>
  <c r="Y44" i="6" s="1"/>
  <c r="Q2" i="6"/>
  <c r="N65" i="6" s="1"/>
  <c r="N77" i="6" s="1"/>
  <c r="K51" i="3" s="1"/>
  <c r="D45" i="4" s="1"/>
  <c r="D35" i="6"/>
  <c r="L35" i="6" s="1"/>
  <c r="D31" i="6"/>
  <c r="L31" i="6" s="1"/>
  <c r="L45" i="6"/>
  <c r="V10" i="6"/>
  <c r="W15" i="6"/>
  <c r="W14" i="6"/>
  <c r="W13" i="6"/>
  <c r="V11" i="6"/>
  <c r="X16" i="6"/>
  <c r="S14" i="6"/>
  <c r="S13" i="6"/>
  <c r="T17" i="6"/>
  <c r="U17" i="6" s="1"/>
  <c r="T16" i="6"/>
  <c r="U20" i="6"/>
  <c r="U6" i="6"/>
  <c r="U5" i="6"/>
  <c r="V4" i="6"/>
  <c r="V12" i="6"/>
  <c r="S12" i="6"/>
  <c r="W12" i="6"/>
  <c r="S10" i="6"/>
  <c r="W4" i="6"/>
  <c r="V8" i="6"/>
  <c r="W11" i="6"/>
  <c r="X14" i="6"/>
  <c r="U4" i="6"/>
  <c r="S9" i="6"/>
  <c r="T12" i="6"/>
  <c r="U15" i="6"/>
  <c r="V21" i="6"/>
  <c r="V7" i="6"/>
  <c r="W10" i="6"/>
  <c r="X13" i="6"/>
  <c r="X4" i="6"/>
  <c r="S4" i="6"/>
  <c r="T11" i="6"/>
  <c r="U14" i="6"/>
  <c r="X12" i="6"/>
  <c r="U13" i="6"/>
  <c r="V5" i="6"/>
  <c r="W7" i="6"/>
  <c r="S5" i="6"/>
  <c r="T8" i="6"/>
  <c r="U11" i="6"/>
  <c r="W20" i="6"/>
  <c r="W6" i="6"/>
  <c r="X9" i="6"/>
  <c r="T15" i="6"/>
  <c r="S7" i="6"/>
  <c r="W8" i="6"/>
  <c r="S6" i="6"/>
  <c r="W21" i="6"/>
  <c r="T21" i="6"/>
  <c r="T7" i="6"/>
  <c r="U10" i="6"/>
  <c r="V16" i="6"/>
  <c r="W5" i="6"/>
  <c r="X8" i="6"/>
  <c r="T14" i="6"/>
  <c r="X15" i="6"/>
  <c r="T4" i="6"/>
  <c r="V20" i="6"/>
  <c r="W9" i="6"/>
  <c r="S21" i="6"/>
  <c r="T9" i="6"/>
  <c r="T20" i="6"/>
  <c r="T6" i="6"/>
  <c r="U9" i="6"/>
  <c r="V15" i="6"/>
  <c r="X21" i="6"/>
  <c r="X7" i="6"/>
  <c r="S11" i="6"/>
  <c r="V9" i="6"/>
  <c r="T13" i="6"/>
  <c r="S16" i="6"/>
  <c r="T5" i="6"/>
  <c r="U8" i="6"/>
  <c r="V14" i="6"/>
  <c r="X20" i="6"/>
  <c r="X6" i="6"/>
  <c r="U16" i="6"/>
  <c r="S8" i="6"/>
  <c r="V6" i="6"/>
  <c r="T10" i="6"/>
  <c r="X11" i="6"/>
  <c r="S20" i="6"/>
  <c r="U12" i="6"/>
  <c r="X10" i="6"/>
  <c r="S15" i="6"/>
  <c r="U21" i="6"/>
  <c r="V13" i="6"/>
  <c r="W16" i="6"/>
  <c r="D45" i="6"/>
  <c r="D53" i="6"/>
  <c r="D41" i="6"/>
  <c r="D50" i="6"/>
  <c r="L51" i="6"/>
  <c r="D51" i="6"/>
  <c r="D54" i="6"/>
  <c r="L43" i="6"/>
  <c r="L54" i="6"/>
  <c r="L44" i="6"/>
  <c r="D44" i="6"/>
  <c r="D43" i="6"/>
  <c r="L25" i="6"/>
  <c r="D42" i="6"/>
  <c r="L32" i="6"/>
  <c r="D49" i="6"/>
  <c r="L55" i="6"/>
  <c r="D55" i="6"/>
  <c r="L53" i="6"/>
  <c r="B58" i="7"/>
  <c r="B41" i="7"/>
  <c r="B42" i="7"/>
  <c r="B43" i="7"/>
  <c r="B44" i="7"/>
  <c r="B45" i="7"/>
  <c r="B46" i="7"/>
  <c r="B47" i="7"/>
  <c r="B48" i="7"/>
  <c r="B49" i="7"/>
  <c r="B50" i="7"/>
  <c r="B51" i="7"/>
  <c r="B52" i="7"/>
  <c r="B53" i="7"/>
  <c r="B55" i="7" s="1"/>
  <c r="B54" i="7"/>
  <c r="B40" i="7"/>
  <c r="B18" i="7"/>
  <c r="B19" i="7"/>
  <c r="B20" i="7"/>
  <c r="B21" i="7"/>
  <c r="B22" i="7"/>
  <c r="B23" i="7"/>
  <c r="B17" i="7"/>
  <c r="B15" i="7"/>
  <c r="B13" i="7"/>
  <c r="B14" i="7"/>
  <c r="B12" i="7"/>
  <c r="B11" i="7"/>
  <c r="B7" i="7"/>
  <c r="B5" i="7"/>
  <c r="F5" i="5"/>
  <c r="H5" i="5" s="1"/>
  <c r="C18" i="5" s="1"/>
  <c r="H18" i="5" s="1"/>
  <c r="F6" i="5"/>
  <c r="H6" i="5"/>
  <c r="F7" i="5"/>
  <c r="H7" i="5"/>
  <c r="F8" i="5"/>
  <c r="H8" i="5"/>
  <c r="C20" i="5" s="1"/>
  <c r="H20" i="5" s="1"/>
  <c r="F9" i="5"/>
  <c r="H9" i="5"/>
  <c r="F10" i="5"/>
  <c r="H10" i="5"/>
  <c r="F11" i="5"/>
  <c r="H11" i="5"/>
  <c r="F12" i="5"/>
  <c r="H12" i="5"/>
  <c r="F13" i="5"/>
  <c r="H13" i="5" s="1"/>
  <c r="F14" i="5"/>
  <c r="H14" i="5"/>
  <c r="C26" i="5" s="1"/>
  <c r="C19" i="5"/>
  <c r="C24" i="5"/>
  <c r="H24" i="5" s="1"/>
  <c r="H19" i="5" l="1"/>
  <c r="B6" i="7" s="1"/>
  <c r="S37" i="6"/>
  <c r="S54" i="6" s="1"/>
  <c r="D47" i="6"/>
  <c r="Z29" i="6"/>
  <c r="Z46" i="6" s="1"/>
  <c r="P29" i="6"/>
  <c r="P46" i="6" s="1"/>
  <c r="AA29" i="6"/>
  <c r="AA46" i="6" s="1"/>
  <c r="Y29" i="6"/>
  <c r="Y46" i="6" s="1"/>
  <c r="R29" i="6"/>
  <c r="R46" i="6" s="1"/>
  <c r="D46" i="6"/>
  <c r="AD29" i="6"/>
  <c r="AD46" i="6" s="1"/>
  <c r="Q29" i="6"/>
  <c r="Q46" i="6" s="1"/>
  <c r="AB29" i="6"/>
  <c r="AB46" i="6" s="1"/>
  <c r="L46" i="6"/>
  <c r="T34" i="6"/>
  <c r="T51" i="6" s="1"/>
  <c r="U27" i="6"/>
  <c r="U44" i="6" s="1"/>
  <c r="U38" i="6"/>
  <c r="U55" i="6" s="1"/>
  <c r="U29" i="6"/>
  <c r="U46" i="6" s="1"/>
  <c r="X33" i="6"/>
  <c r="X50" i="6" s="1"/>
  <c r="X29" i="6"/>
  <c r="X46" i="6" s="1"/>
  <c r="V29" i="6"/>
  <c r="V46" i="6" s="1"/>
  <c r="S29" i="6"/>
  <c r="S46" i="6" s="1"/>
  <c r="S34" i="6"/>
  <c r="S51" i="6" s="1"/>
  <c r="W29" i="6"/>
  <c r="W46" i="6" s="1"/>
  <c r="T29" i="6"/>
  <c r="T46" i="6" s="1"/>
  <c r="T37" i="6"/>
  <c r="T54" i="6" s="1"/>
  <c r="V38" i="6"/>
  <c r="V55" i="6" s="1"/>
  <c r="S36" i="6"/>
  <c r="S53" i="6" s="1"/>
  <c r="U33" i="6"/>
  <c r="U50" i="6" s="1"/>
  <c r="W33" i="6"/>
  <c r="W50" i="6" s="1"/>
  <c r="U37" i="6"/>
  <c r="U54" i="6" s="1"/>
  <c r="X37" i="6"/>
  <c r="X54" i="6" s="1"/>
  <c r="U28" i="6"/>
  <c r="U45" i="6" s="1"/>
  <c r="V37" i="6"/>
  <c r="V54" i="6" s="1"/>
  <c r="T28" i="6"/>
  <c r="T45" i="6" s="1"/>
  <c r="V28" i="6"/>
  <c r="V45" i="6" s="1"/>
  <c r="X34" i="6"/>
  <c r="X51" i="6" s="1"/>
  <c r="X36" i="6"/>
  <c r="X53" i="6" s="1"/>
  <c r="X38" i="6"/>
  <c r="X55" i="6" s="1"/>
  <c r="U34" i="6"/>
  <c r="U51" i="6" s="1"/>
  <c r="U36" i="6"/>
  <c r="U53" i="6" s="1"/>
  <c r="W34" i="6"/>
  <c r="W51" i="6" s="1"/>
  <c r="W36" i="6"/>
  <c r="W53" i="6" s="1"/>
  <c r="T36" i="6"/>
  <c r="T53" i="6" s="1"/>
  <c r="T38" i="6"/>
  <c r="T55" i="6" s="1"/>
  <c r="W38" i="6"/>
  <c r="W55" i="6" s="1"/>
  <c r="V34" i="6"/>
  <c r="V51" i="6" s="1"/>
  <c r="V36" i="6"/>
  <c r="V53" i="6" s="1"/>
  <c r="S38" i="6"/>
  <c r="S55" i="6" s="1"/>
  <c r="U26" i="6"/>
  <c r="U43" i="6" s="1"/>
  <c r="T26" i="6"/>
  <c r="T43" i="6" s="1"/>
  <c r="T33" i="6"/>
  <c r="T50" i="6" s="1"/>
  <c r="W26" i="6"/>
  <c r="W43" i="6" s="1"/>
  <c r="S33" i="6"/>
  <c r="S50" i="6" s="1"/>
  <c r="V33" i="6"/>
  <c r="V50" i="6" s="1"/>
  <c r="X27" i="6"/>
  <c r="X44" i="6" s="1"/>
  <c r="X28" i="6"/>
  <c r="X45" i="6" s="1"/>
  <c r="X26" i="6"/>
  <c r="X43" i="6" s="1"/>
  <c r="W37" i="6"/>
  <c r="W54" i="6" s="1"/>
  <c r="W28" i="6"/>
  <c r="W45" i="6" s="1"/>
  <c r="T27" i="6"/>
  <c r="T44" i="6" s="1"/>
  <c r="W27" i="6"/>
  <c r="W44" i="6" s="1"/>
  <c r="S26" i="6"/>
  <c r="S43" i="6" s="1"/>
  <c r="S28" i="6"/>
  <c r="S45" i="6" s="1"/>
  <c r="S27" i="6"/>
  <c r="S44" i="6" s="1"/>
  <c r="V27" i="6"/>
  <c r="V44" i="6" s="1"/>
  <c r="V26" i="6"/>
  <c r="V43" i="6" s="1"/>
  <c r="P32" i="6"/>
  <c r="P49" i="6" s="1"/>
  <c r="AD32" i="6"/>
  <c r="AD49" i="6" s="1"/>
  <c r="Q32" i="6"/>
  <c r="Q49" i="6" s="1"/>
  <c r="W32" i="6"/>
  <c r="W49" i="6" s="1"/>
  <c r="R32" i="6"/>
  <c r="R49" i="6" s="1"/>
  <c r="U32" i="6"/>
  <c r="U49" i="6" s="1"/>
  <c r="V32" i="6"/>
  <c r="V49" i="6" s="1"/>
  <c r="X32" i="6"/>
  <c r="X49" i="6" s="1"/>
  <c r="Z32" i="6"/>
  <c r="Z49" i="6" s="1"/>
  <c r="S32" i="6"/>
  <c r="S49" i="6" s="1"/>
  <c r="T32" i="6"/>
  <c r="T49" i="6" s="1"/>
  <c r="Y32" i="6"/>
  <c r="Y49" i="6" s="1"/>
  <c r="AA32" i="6"/>
  <c r="AA49" i="6" s="1"/>
  <c r="AB32" i="6"/>
  <c r="AB49" i="6" s="1"/>
  <c r="AC32" i="6"/>
  <c r="AC49" i="6" s="1"/>
  <c r="AA31" i="6"/>
  <c r="AA48" i="6" s="1"/>
  <c r="AB31" i="6"/>
  <c r="AB48" i="6" s="1"/>
  <c r="V31" i="6"/>
  <c r="V48" i="6" s="1"/>
  <c r="AC31" i="6"/>
  <c r="AC48" i="6" s="1"/>
  <c r="R31" i="6"/>
  <c r="R48" i="6" s="1"/>
  <c r="S31" i="6"/>
  <c r="S48" i="6" s="1"/>
  <c r="P31" i="6"/>
  <c r="P48" i="6" s="1"/>
  <c r="AD31" i="6"/>
  <c r="AD48" i="6" s="1"/>
  <c r="W31" i="6"/>
  <c r="W48" i="6" s="1"/>
  <c r="Q31" i="6"/>
  <c r="Q48" i="6" s="1"/>
  <c r="T31" i="6"/>
  <c r="T48" i="6" s="1"/>
  <c r="U31" i="6"/>
  <c r="U48" i="6" s="1"/>
  <c r="X31" i="6"/>
  <c r="X48" i="6" s="1"/>
  <c r="Y31" i="6"/>
  <c r="Y48" i="6" s="1"/>
  <c r="Z31" i="6"/>
  <c r="Z48" i="6" s="1"/>
  <c r="Y35" i="6"/>
  <c r="Y52" i="6" s="1"/>
  <c r="Z35" i="6"/>
  <c r="Z52" i="6" s="1"/>
  <c r="R35" i="6"/>
  <c r="R52" i="6" s="1"/>
  <c r="AA35" i="6"/>
  <c r="AA52" i="6" s="1"/>
  <c r="P35" i="6"/>
  <c r="P52" i="6" s="1"/>
  <c r="Q35" i="6"/>
  <c r="Q52" i="6" s="1"/>
  <c r="AB35" i="6"/>
  <c r="AB52" i="6" s="1"/>
  <c r="AD35" i="6"/>
  <c r="AD52" i="6" s="1"/>
  <c r="S35" i="6"/>
  <c r="S52" i="6" s="1"/>
  <c r="AC35" i="6"/>
  <c r="AC52" i="6" s="1"/>
  <c r="T35" i="6"/>
  <c r="T52" i="6" s="1"/>
  <c r="U35" i="6"/>
  <c r="U52" i="6" s="1"/>
  <c r="V35" i="6"/>
  <c r="V52" i="6" s="1"/>
  <c r="W35" i="6"/>
  <c r="W52" i="6" s="1"/>
  <c r="X35" i="6"/>
  <c r="X52" i="6" s="1"/>
  <c r="X30" i="6"/>
  <c r="X47" i="6" s="1"/>
  <c r="Y30" i="6"/>
  <c r="Y47" i="6" s="1"/>
  <c r="R30" i="6"/>
  <c r="R47" i="6" s="1"/>
  <c r="T30" i="6"/>
  <c r="T47" i="6" s="1"/>
  <c r="Z30" i="6"/>
  <c r="Z47" i="6" s="1"/>
  <c r="P30" i="6"/>
  <c r="P47" i="6" s="1"/>
  <c r="AD30" i="6"/>
  <c r="AD47" i="6" s="1"/>
  <c r="S30" i="6"/>
  <c r="S47" i="6" s="1"/>
  <c r="AA30" i="6"/>
  <c r="AA47" i="6" s="1"/>
  <c r="AC30" i="6"/>
  <c r="AC47" i="6" s="1"/>
  <c r="Q30" i="6"/>
  <c r="Q47" i="6" s="1"/>
  <c r="AB30" i="6"/>
  <c r="AB47" i="6" s="1"/>
  <c r="U30" i="6"/>
  <c r="U47" i="6" s="1"/>
  <c r="V30" i="6"/>
  <c r="V47" i="6" s="1"/>
  <c r="W30" i="6"/>
  <c r="W47" i="6" s="1"/>
  <c r="H26" i="5"/>
  <c r="B16" i="7" s="1"/>
  <c r="S25" i="6"/>
  <c r="S42" i="6" s="1"/>
  <c r="T25" i="6"/>
  <c r="T42" i="6" s="1"/>
  <c r="U25" i="6"/>
  <c r="U42" i="6" s="1"/>
  <c r="Z25" i="6"/>
  <c r="Z42" i="6" s="1"/>
  <c r="V25" i="6"/>
  <c r="V42" i="6" s="1"/>
  <c r="X25" i="6"/>
  <c r="X42" i="6" s="1"/>
  <c r="Y25" i="6"/>
  <c r="Y42" i="6" s="1"/>
  <c r="AA25" i="6"/>
  <c r="AA42" i="6" s="1"/>
  <c r="W25" i="6"/>
  <c r="W42" i="6" s="1"/>
  <c r="AB25" i="6"/>
  <c r="AB42" i="6" s="1"/>
  <c r="AC25" i="6"/>
  <c r="AC42" i="6" s="1"/>
  <c r="AD25" i="6"/>
  <c r="AD42" i="6" s="1"/>
  <c r="Q25" i="6"/>
  <c r="Q42" i="6" s="1"/>
  <c r="R25" i="6"/>
  <c r="R42" i="6" s="1"/>
  <c r="P25" i="6"/>
  <c r="P42" i="6" s="1"/>
  <c r="O18" i="6"/>
  <c r="E36" i="10"/>
  <c r="E39" i="10" s="1"/>
  <c r="F39" i="10" s="1"/>
  <c r="O4" i="6"/>
  <c r="O16" i="6"/>
  <c r="N8" i="6"/>
  <c r="D9" i="7" s="1"/>
  <c r="N66" i="6"/>
  <c r="N78" i="6" s="1"/>
  <c r="K52" i="3" s="1"/>
  <c r="D46" i="4" s="1"/>
  <c r="N18" i="6"/>
  <c r="O6" i="6"/>
  <c r="N7" i="6"/>
  <c r="O61" i="6"/>
  <c r="O73" i="6" s="1"/>
  <c r="M64" i="6"/>
  <c r="O7" i="6"/>
  <c r="O17" i="6"/>
  <c r="O11" i="6"/>
  <c r="O19" i="6"/>
  <c r="N16" i="6"/>
  <c r="M18" i="6"/>
  <c r="O5" i="6"/>
  <c r="N61" i="6"/>
  <c r="N73" i="6" s="1"/>
  <c r="K47" i="3" s="1"/>
  <c r="D41" i="4" s="1"/>
  <c r="Q23" i="6"/>
  <c r="Q40" i="6" s="1"/>
  <c r="M63" i="6"/>
  <c r="N67" i="6"/>
  <c r="N79" i="6" s="1"/>
  <c r="K53" i="3" s="1"/>
  <c r="D47" i="4" s="1"/>
  <c r="O62" i="6"/>
  <c r="O74" i="6" s="1"/>
  <c r="O67" i="6"/>
  <c r="O79" i="6" s="1"/>
  <c r="M67" i="6"/>
  <c r="M79" i="6" s="1"/>
  <c r="O64" i="6"/>
  <c r="N64" i="6"/>
  <c r="N62" i="6"/>
  <c r="N74" i="6" s="1"/>
  <c r="K48" i="3" s="1"/>
  <c r="D42" i="4" s="1"/>
  <c r="O63" i="6"/>
  <c r="N63" i="6"/>
  <c r="O66" i="6"/>
  <c r="O78" i="6" s="1"/>
  <c r="N19" i="6"/>
  <c r="M62" i="6"/>
  <c r="M74" i="6" s="1"/>
  <c r="M16" i="6"/>
  <c r="M19" i="6"/>
  <c r="M66" i="6"/>
  <c r="M78" i="6" s="1"/>
  <c r="M65" i="6"/>
  <c r="M77" i="6" s="1"/>
  <c r="O65" i="6"/>
  <c r="O77" i="6" s="1"/>
  <c r="M61" i="6"/>
  <c r="M73" i="6" s="1"/>
  <c r="D52" i="6"/>
  <c r="L52" i="6"/>
  <c r="D48" i="6"/>
  <c r="L48" i="6"/>
  <c r="N13" i="6"/>
  <c r="D14" i="7" s="1"/>
  <c r="E14" i="7" s="1"/>
  <c r="O14" i="6"/>
  <c r="O12" i="6"/>
  <c r="M20" i="6"/>
  <c r="N14" i="6"/>
  <c r="D15" i="7" s="1"/>
  <c r="N15" i="6"/>
  <c r="D16" i="7" s="1"/>
  <c r="M14" i="6"/>
  <c r="O20" i="6"/>
  <c r="M9" i="6"/>
  <c r="M10" i="6"/>
  <c r="M13" i="6"/>
  <c r="N12" i="6"/>
  <c r="M11" i="6"/>
  <c r="M15" i="6"/>
  <c r="O8" i="6"/>
  <c r="M12" i="6"/>
  <c r="O10" i="6"/>
  <c r="O15" i="6"/>
  <c r="M4" i="6"/>
  <c r="O9" i="6"/>
  <c r="M8" i="6"/>
  <c r="N5" i="6"/>
  <c r="D6" i="7" s="1"/>
  <c r="N6" i="6"/>
  <c r="N4" i="6"/>
  <c r="D5" i="7" s="1"/>
  <c r="E5" i="7" s="1"/>
  <c r="N10" i="6"/>
  <c r="N17" i="6"/>
  <c r="N21" i="6"/>
  <c r="M5" i="6"/>
  <c r="N20" i="6"/>
  <c r="M17" i="6"/>
  <c r="N9" i="6"/>
  <c r="M21" i="6"/>
  <c r="O13" i="6"/>
  <c r="M7" i="6"/>
  <c r="M6" i="6"/>
  <c r="O21" i="6"/>
  <c r="N11" i="6"/>
  <c r="L49" i="6"/>
  <c r="L42" i="6"/>
  <c r="L47" i="6"/>
  <c r="C25" i="5"/>
  <c r="H25" i="5" s="1"/>
  <c r="C22" i="5"/>
  <c r="H22" i="5" s="1"/>
  <c r="B10" i="7" s="1"/>
  <c r="B8" i="7"/>
  <c r="C21" i="5"/>
  <c r="E6" i="7" l="1"/>
  <c r="M35" i="6"/>
  <c r="M52" i="6" s="1"/>
  <c r="O30" i="6"/>
  <c r="O47" i="6" s="1"/>
  <c r="N31" i="6"/>
  <c r="N48" i="6" s="1"/>
  <c r="D47" i="7" s="1"/>
  <c r="V24" i="6"/>
  <c r="V41" i="6" s="1"/>
  <c r="T24" i="6"/>
  <c r="T41" i="6" s="1"/>
  <c r="O32" i="6"/>
  <c r="O49" i="6" s="1"/>
  <c r="S24" i="6"/>
  <c r="S41" i="6" s="1"/>
  <c r="M30" i="6"/>
  <c r="M47" i="6" s="1"/>
  <c r="X24" i="6"/>
  <c r="X41" i="6" s="1"/>
  <c r="M31" i="6"/>
  <c r="M48" i="6" s="1"/>
  <c r="E15" i="7"/>
  <c r="E29" i="7" s="1"/>
  <c r="D29" i="7" s="1"/>
  <c r="K7" i="3" s="1"/>
  <c r="AB24" i="6"/>
  <c r="AB41" i="6" s="1"/>
  <c r="AD24" i="6"/>
  <c r="AD41" i="6" s="1"/>
  <c r="Y24" i="6"/>
  <c r="Y41" i="6" s="1"/>
  <c r="AC24" i="6"/>
  <c r="AC41" i="6" s="1"/>
  <c r="U24" i="6"/>
  <c r="U41" i="6" s="1"/>
  <c r="P24" i="6"/>
  <c r="P41" i="6" s="1"/>
  <c r="Z24" i="6"/>
  <c r="Z41" i="6" s="1"/>
  <c r="Q24" i="6"/>
  <c r="Q41" i="6" s="1"/>
  <c r="AA24" i="6"/>
  <c r="AA41" i="6" s="1"/>
  <c r="R24" i="6"/>
  <c r="R41" i="6" s="1"/>
  <c r="W24" i="6"/>
  <c r="W41" i="6" s="1"/>
  <c r="O34" i="6"/>
  <c r="O51" i="6" s="1"/>
  <c r="O36" i="6"/>
  <c r="O53" i="6" s="1"/>
  <c r="O38" i="6"/>
  <c r="O55" i="6" s="1"/>
  <c r="O35" i="6"/>
  <c r="O52" i="6" s="1"/>
  <c r="D13" i="7"/>
  <c r="E13" i="7" s="1"/>
  <c r="N34" i="6"/>
  <c r="N51" i="6" s="1"/>
  <c r="D50" i="7" s="1"/>
  <c r="N36" i="6"/>
  <c r="N53" i="6" s="1"/>
  <c r="D52" i="7" s="1"/>
  <c r="N38" i="6"/>
  <c r="N55" i="6" s="1"/>
  <c r="D54" i="7" s="1"/>
  <c r="N35" i="6"/>
  <c r="N52" i="6" s="1"/>
  <c r="D51" i="7" s="1"/>
  <c r="M36" i="6"/>
  <c r="M53" i="6" s="1"/>
  <c r="M34" i="6"/>
  <c r="M51" i="6" s="1"/>
  <c r="M38" i="6"/>
  <c r="M55" i="6" s="1"/>
  <c r="M25" i="6"/>
  <c r="M42" i="6" s="1"/>
  <c r="O29" i="6"/>
  <c r="O46" i="6" s="1"/>
  <c r="O33" i="6"/>
  <c r="O50" i="6" s="1"/>
  <c r="O31" i="6"/>
  <c r="O48" i="6" s="1"/>
  <c r="N29" i="6"/>
  <c r="N46" i="6" s="1"/>
  <c r="D45" i="7" s="1"/>
  <c r="N33" i="6"/>
  <c r="N50" i="6" s="1"/>
  <c r="D49" i="7" s="1"/>
  <c r="N32" i="6"/>
  <c r="N49" i="6" s="1"/>
  <c r="D48" i="7" s="1"/>
  <c r="N30" i="6"/>
  <c r="N47" i="6" s="1"/>
  <c r="D46" i="7" s="1"/>
  <c r="M33" i="6"/>
  <c r="M50" i="6" s="1"/>
  <c r="M29" i="6"/>
  <c r="M46" i="6" s="1"/>
  <c r="M32" i="6"/>
  <c r="M49" i="6" s="1"/>
  <c r="O25" i="6"/>
  <c r="O42" i="6" s="1"/>
  <c r="O37" i="6"/>
  <c r="O54" i="6" s="1"/>
  <c r="O27" i="6"/>
  <c r="O44" i="6" s="1"/>
  <c r="O28" i="6"/>
  <c r="O45" i="6" s="1"/>
  <c r="O24" i="6"/>
  <c r="O41" i="6" s="1"/>
  <c r="O26" i="6"/>
  <c r="O43" i="6" s="1"/>
  <c r="D8" i="7"/>
  <c r="E8" i="7" s="1"/>
  <c r="N37" i="6"/>
  <c r="N54" i="6" s="1"/>
  <c r="D53" i="7" s="1"/>
  <c r="N24" i="6"/>
  <c r="N28" i="6"/>
  <c r="N26" i="6"/>
  <c r="N27" i="6"/>
  <c r="N25" i="6"/>
  <c r="M37" i="6"/>
  <c r="M54" i="6" s="1"/>
  <c r="M28" i="6"/>
  <c r="M45" i="6" s="1"/>
  <c r="M27" i="6"/>
  <c r="M44" i="6" s="1"/>
  <c r="M24" i="6"/>
  <c r="M41" i="6" s="1"/>
  <c r="M26" i="6"/>
  <c r="M43" i="6" s="1"/>
  <c r="E16" i="7"/>
  <c r="E30" i="7" s="1"/>
  <c r="D30" i="7" s="1"/>
  <c r="K8" i="3" s="1"/>
  <c r="H21" i="5"/>
  <c r="B9" i="7" s="1"/>
  <c r="E9" i="7" s="1"/>
  <c r="C23" i="5"/>
  <c r="H23" i="5" s="1"/>
  <c r="N68" i="6"/>
  <c r="O68" i="6"/>
  <c r="M68" i="6"/>
  <c r="D10" i="7"/>
  <c r="E10" i="7" s="1"/>
  <c r="D12" i="7"/>
  <c r="D11" i="7"/>
  <c r="E11" i="7" s="1"/>
  <c r="L75" i="6"/>
  <c r="L76" i="6"/>
  <c r="D7" i="7"/>
  <c r="E7" i="7" s="1"/>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7" i="4"/>
  <c r="B47" i="4"/>
  <c r="E46" i="4"/>
  <c r="B46" i="4"/>
  <c r="E45" i="4"/>
  <c r="B45" i="4"/>
  <c r="E44" i="4"/>
  <c r="B44" i="4"/>
  <c r="E43" i="4"/>
  <c r="B43" i="4"/>
  <c r="E42" i="4"/>
  <c r="B42" i="4"/>
  <c r="E41" i="4"/>
  <c r="B41"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B14"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B13"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B12"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B11"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B10"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I54" i="3"/>
  <c r="J54" i="3" s="1"/>
  <c r="F54" i="3"/>
  <c r="I53" i="3"/>
  <c r="F53" i="3"/>
  <c r="I52" i="3"/>
  <c r="F52" i="3"/>
  <c r="I51" i="3"/>
  <c r="F51" i="3"/>
  <c r="I50" i="3"/>
  <c r="F50" i="3"/>
  <c r="I49" i="3"/>
  <c r="F49" i="3"/>
  <c r="I48" i="3"/>
  <c r="F48" i="3"/>
  <c r="I47" i="3"/>
  <c r="H47" i="3" s="1"/>
  <c r="F47" i="3"/>
  <c r="I24" i="3"/>
  <c r="J24" i="3" s="1"/>
  <c r="F24" i="3"/>
  <c r="I23" i="3"/>
  <c r="F23" i="3"/>
  <c r="I22" i="3"/>
  <c r="F22" i="3"/>
  <c r="I21" i="3"/>
  <c r="F21" i="3"/>
  <c r="I20" i="3"/>
  <c r="F20" i="3"/>
  <c r="I19" i="3"/>
  <c r="F19" i="3"/>
  <c r="I18" i="3"/>
  <c r="F18" i="3"/>
  <c r="I17" i="3"/>
  <c r="F17" i="3"/>
  <c r="I13" i="3"/>
  <c r="H13" i="3" s="1"/>
  <c r="F13" i="3"/>
  <c r="I12" i="3"/>
  <c r="D16" i="4" s="1"/>
  <c r="F12" i="3"/>
  <c r="I11" i="3"/>
  <c r="D15" i="4" s="1"/>
  <c r="F11" i="3"/>
  <c r="I10" i="3"/>
  <c r="J10" i="3" s="1"/>
  <c r="F10" i="3"/>
  <c r="I9" i="3"/>
  <c r="D14" i="4" s="1"/>
  <c r="F9" i="3"/>
  <c r="I8" i="3"/>
  <c r="D13" i="4" s="1"/>
  <c r="F8" i="3"/>
  <c r="I7" i="3"/>
  <c r="D12" i="4" s="1"/>
  <c r="F7" i="3"/>
  <c r="I6" i="3"/>
  <c r="D11" i="4" s="1"/>
  <c r="F6" i="3"/>
  <c r="I5" i="3"/>
  <c r="D10" i="4" s="1"/>
  <c r="F5" i="3"/>
  <c r="E27" i="7" l="1"/>
  <c r="D27" i="7" s="1"/>
  <c r="K5" i="3" s="1"/>
  <c r="N45" i="6"/>
  <c r="D44" i="7" s="1"/>
  <c r="E44" i="7" s="1"/>
  <c r="N43" i="6"/>
  <c r="D42" i="7" s="1"/>
  <c r="E42" i="7" s="1"/>
  <c r="N42" i="6"/>
  <c r="D41" i="7" s="1"/>
  <c r="E41" i="7" s="1"/>
  <c r="N44" i="6"/>
  <c r="D43" i="7" s="1"/>
  <c r="E43" i="7" s="1"/>
  <c r="N41" i="6"/>
  <c r="D40" i="7" s="1"/>
  <c r="E52" i="7"/>
  <c r="K41" i="3"/>
  <c r="D34" i="4" s="1"/>
  <c r="E54" i="7"/>
  <c r="K43" i="3"/>
  <c r="D36" i="4" s="1"/>
  <c r="E51" i="7"/>
  <c r="K40" i="3"/>
  <c r="D33" i="4" s="1"/>
  <c r="E50" i="7"/>
  <c r="K39" i="3"/>
  <c r="D32" i="4" s="1"/>
  <c r="E45" i="7"/>
  <c r="K34" i="3"/>
  <c r="D27" i="4" s="1"/>
  <c r="E27" i="4" s="1"/>
  <c r="AS27" i="4" s="1"/>
  <c r="E12" i="7"/>
  <c r="E49" i="7"/>
  <c r="K38" i="3"/>
  <c r="D31" i="4" s="1"/>
  <c r="E46" i="7"/>
  <c r="K35" i="3"/>
  <c r="D28" i="4" s="1"/>
  <c r="E28" i="4" s="1"/>
  <c r="AS28" i="4" s="1"/>
  <c r="E53" i="7"/>
  <c r="K42" i="3"/>
  <c r="D35" i="4" s="1"/>
  <c r="H10" i="3"/>
  <c r="H22" i="3"/>
  <c r="J20" i="3"/>
  <c r="E15" i="4"/>
  <c r="AS15" i="4" s="1"/>
  <c r="E16" i="4"/>
  <c r="AS16" i="4" s="1"/>
  <c r="N76" i="6"/>
  <c r="K50" i="3" s="1"/>
  <c r="D44" i="4" s="1"/>
  <c r="Y44" i="4" s="1"/>
  <c r="M76" i="6"/>
  <c r="O76" i="6"/>
  <c r="M75" i="6"/>
  <c r="N75" i="6"/>
  <c r="K49" i="3" s="1"/>
  <c r="D43" i="4" s="1"/>
  <c r="L43" i="4" s="1"/>
  <c r="O75" i="6"/>
  <c r="J22" i="3"/>
  <c r="H7" i="3"/>
  <c r="D17" i="7"/>
  <c r="H6" i="3"/>
  <c r="H23" i="3"/>
  <c r="H24" i="3"/>
  <c r="H49" i="3"/>
  <c r="H50" i="3"/>
  <c r="H5" i="3"/>
  <c r="H51" i="3"/>
  <c r="J5" i="3"/>
  <c r="H52" i="3"/>
  <c r="J12" i="3"/>
  <c r="J47" i="3"/>
  <c r="J13" i="3"/>
  <c r="J51" i="3"/>
  <c r="T41" i="4"/>
  <c r="H21" i="3"/>
  <c r="H8" i="3"/>
  <c r="J17" i="3"/>
  <c r="H53" i="3"/>
  <c r="H9" i="3"/>
  <c r="J18" i="3"/>
  <c r="H54" i="3"/>
  <c r="H11" i="3"/>
  <c r="J48" i="3"/>
  <c r="J19" i="3"/>
  <c r="J6" i="3"/>
  <c r="H12" i="3"/>
  <c r="J21" i="3"/>
  <c r="J49" i="3"/>
  <c r="J7" i="3"/>
  <c r="J50" i="3"/>
  <c r="J8" i="3"/>
  <c r="H17" i="3"/>
  <c r="J23" i="3"/>
  <c r="J9" i="3"/>
  <c r="H18" i="3"/>
  <c r="J52" i="3"/>
  <c r="H19" i="3"/>
  <c r="J53" i="3"/>
  <c r="J11" i="3"/>
  <c r="H20" i="3"/>
  <c r="H48" i="3"/>
  <c r="E11" i="4"/>
  <c r="AS11" i="4" s="1"/>
  <c r="AH46" i="4"/>
  <c r="AI46" i="4"/>
  <c r="AG46" i="4"/>
  <c r="U46" i="4"/>
  <c r="S46" i="4"/>
  <c r="G46" i="4"/>
  <c r="P47" i="4"/>
  <c r="AD47" i="4"/>
  <c r="AF47" i="4"/>
  <c r="AR47" i="4"/>
  <c r="E10" i="4"/>
  <c r="AS10" i="4" s="1"/>
  <c r="AK45" i="4"/>
  <c r="W45" i="4"/>
  <c r="I45" i="4"/>
  <c r="AJ45" i="4"/>
  <c r="V45" i="4"/>
  <c r="H45" i="4"/>
  <c r="AI45" i="4"/>
  <c r="U45" i="4"/>
  <c r="G45" i="4"/>
  <c r="AH45" i="4"/>
  <c r="T45" i="4"/>
  <c r="F45" i="4"/>
  <c r="AG45" i="4"/>
  <c r="S45" i="4"/>
  <c r="AF45" i="4"/>
  <c r="R45" i="4"/>
  <c r="J45" i="4"/>
  <c r="AE45" i="4"/>
  <c r="Q45" i="4"/>
  <c r="AR45" i="4"/>
  <c r="AD45" i="4"/>
  <c r="P45" i="4"/>
  <c r="AQ45" i="4"/>
  <c r="AC45" i="4"/>
  <c r="O45" i="4"/>
  <c r="X45" i="4"/>
  <c r="AP45" i="4"/>
  <c r="AB45" i="4"/>
  <c r="N45" i="4"/>
  <c r="AO45" i="4"/>
  <c r="AA45" i="4"/>
  <c r="M45" i="4"/>
  <c r="AL45" i="4"/>
  <c r="AN45" i="4"/>
  <c r="Z45" i="4"/>
  <c r="L45" i="4"/>
  <c r="AM45" i="4"/>
  <c r="Y45" i="4"/>
  <c r="K45" i="4"/>
  <c r="E12" i="4"/>
  <c r="AS12" i="4" s="1"/>
  <c r="E13" i="4"/>
  <c r="AS13" i="4" s="1"/>
  <c r="E14" i="4"/>
  <c r="AS14" i="4" s="1"/>
  <c r="AF42" i="4"/>
  <c r="R42" i="4"/>
  <c r="AE42" i="4"/>
  <c r="Q42" i="4"/>
  <c r="AR42" i="4"/>
  <c r="AD42" i="4"/>
  <c r="P42" i="4"/>
  <c r="AQ42" i="4"/>
  <c r="AC42" i="4"/>
  <c r="O42" i="4"/>
  <c r="AP42" i="4"/>
  <c r="AB42" i="4"/>
  <c r="N42" i="4"/>
  <c r="AO42" i="4"/>
  <c r="AA42" i="4"/>
  <c r="M42" i="4"/>
  <c r="AN42" i="4"/>
  <c r="Z42" i="4"/>
  <c r="L42" i="4"/>
  <c r="AM42" i="4"/>
  <c r="Y42" i="4"/>
  <c r="K42" i="4"/>
  <c r="AL42" i="4"/>
  <c r="X42" i="4"/>
  <c r="J42" i="4"/>
  <c r="AK42" i="4"/>
  <c r="W42" i="4"/>
  <c r="I42" i="4"/>
  <c r="AG42" i="4"/>
  <c r="AJ42" i="4"/>
  <c r="V42" i="4"/>
  <c r="H42" i="4"/>
  <c r="AI42" i="4"/>
  <c r="U42" i="4"/>
  <c r="G42" i="4"/>
  <c r="S42" i="4"/>
  <c r="AH42" i="4"/>
  <c r="T42" i="4"/>
  <c r="F42" i="4"/>
  <c r="H46" i="4"/>
  <c r="V46" i="4"/>
  <c r="AJ46" i="4"/>
  <c r="S47" i="4"/>
  <c r="AG47" i="4"/>
  <c r="I46" i="4"/>
  <c r="W46" i="4"/>
  <c r="AK46" i="4"/>
  <c r="F47" i="4"/>
  <c r="T47" i="4"/>
  <c r="AH47" i="4"/>
  <c r="J46" i="4"/>
  <c r="X46" i="4"/>
  <c r="AL46" i="4"/>
  <c r="G47" i="4"/>
  <c r="U47" i="4"/>
  <c r="AI47" i="4"/>
  <c r="K46" i="4"/>
  <c r="Y46" i="4"/>
  <c r="AM46" i="4"/>
  <c r="H47" i="4"/>
  <c r="V47" i="4"/>
  <c r="AJ47" i="4"/>
  <c r="L46" i="4"/>
  <c r="Z46" i="4"/>
  <c r="AN46" i="4"/>
  <c r="I47" i="4"/>
  <c r="W47" i="4"/>
  <c r="AK47" i="4"/>
  <c r="M46" i="4"/>
  <c r="AA46" i="4"/>
  <c r="AO46" i="4"/>
  <c r="J47" i="4"/>
  <c r="X47" i="4"/>
  <c r="AL47" i="4"/>
  <c r="N46" i="4"/>
  <c r="AB46" i="4"/>
  <c r="AP46" i="4"/>
  <c r="K47" i="4"/>
  <c r="Y47" i="4"/>
  <c r="AM47" i="4"/>
  <c r="R47" i="4"/>
  <c r="O46" i="4"/>
  <c r="AC46" i="4"/>
  <c r="AQ46" i="4"/>
  <c r="L47" i="4"/>
  <c r="Z47" i="4"/>
  <c r="AN47" i="4"/>
  <c r="P46" i="4"/>
  <c r="AD46" i="4"/>
  <c r="AR46" i="4"/>
  <c r="M47" i="4"/>
  <c r="AA47" i="4"/>
  <c r="AO47" i="4"/>
  <c r="Q46" i="4"/>
  <c r="AE46" i="4"/>
  <c r="N47" i="4"/>
  <c r="AB47" i="4"/>
  <c r="AP47" i="4"/>
  <c r="R46" i="4"/>
  <c r="AF46" i="4"/>
  <c r="O47" i="4"/>
  <c r="AC47" i="4"/>
  <c r="AQ47" i="4"/>
  <c r="F46" i="4"/>
  <c r="T46" i="4"/>
  <c r="Q47" i="4"/>
  <c r="AE47" i="4"/>
  <c r="R43" i="4" l="1"/>
  <c r="T43" i="4"/>
  <c r="Q43" i="4"/>
  <c r="AF43" i="4"/>
  <c r="AM43" i="4"/>
  <c r="W43" i="4"/>
  <c r="L44" i="4"/>
  <c r="H44" i="4"/>
  <c r="AR44" i="4"/>
  <c r="G44" i="4"/>
  <c r="AM44" i="4"/>
  <c r="U44" i="4"/>
  <c r="AN44" i="4"/>
  <c r="V44" i="4"/>
  <c r="I44" i="4"/>
  <c r="AK44" i="4"/>
  <c r="P44" i="4"/>
  <c r="AI44" i="4"/>
  <c r="Z44" i="4"/>
  <c r="Q44" i="4"/>
  <c r="AE44" i="4"/>
  <c r="AF44" i="4"/>
  <c r="AP44" i="4"/>
  <c r="J44" i="4"/>
  <c r="AA43" i="4"/>
  <c r="T44" i="4"/>
  <c r="T50" i="4" s="1"/>
  <c r="K44" i="4"/>
  <c r="AD44" i="4"/>
  <c r="M44" i="4"/>
  <c r="AJ44" i="4"/>
  <c r="R44" i="4"/>
  <c r="N44" i="4"/>
  <c r="W44" i="4"/>
  <c r="AB44" i="4"/>
  <c r="AA44" i="4"/>
  <c r="S44" i="4"/>
  <c r="AO44" i="4"/>
  <c r="AG44" i="4"/>
  <c r="X44" i="4"/>
  <c r="Z43" i="4"/>
  <c r="O44" i="4"/>
  <c r="F44" i="4"/>
  <c r="AL44" i="4"/>
  <c r="AC44" i="4"/>
  <c r="AQ44" i="4"/>
  <c r="AH44" i="4"/>
  <c r="I43" i="4"/>
  <c r="AK43" i="4"/>
  <c r="AE43" i="4"/>
  <c r="AL43" i="4"/>
  <c r="S43" i="4"/>
  <c r="AN43" i="4"/>
  <c r="AG43" i="4"/>
  <c r="M43" i="4"/>
  <c r="N43" i="4"/>
  <c r="P43" i="4"/>
  <c r="AI43" i="4"/>
  <c r="AC43" i="4"/>
  <c r="H43" i="4"/>
  <c r="V43" i="4"/>
  <c r="AJ43" i="4"/>
  <c r="AO43" i="4"/>
  <c r="F43" i="4"/>
  <c r="AD43" i="4"/>
  <c r="AB43" i="4"/>
  <c r="J43" i="4"/>
  <c r="AP43" i="4"/>
  <c r="AH43" i="4"/>
  <c r="X43" i="4"/>
  <c r="O43" i="4"/>
  <c r="G43" i="4"/>
  <c r="K43" i="4"/>
  <c r="AQ43" i="4"/>
  <c r="U43" i="4"/>
  <c r="Y43" i="4"/>
  <c r="AR43" i="4"/>
  <c r="E17" i="7"/>
  <c r="E28" i="7"/>
  <c r="D28" i="7" s="1"/>
  <c r="K6" i="3" s="1"/>
  <c r="K30" i="3"/>
  <c r="D23" i="4" s="1"/>
  <c r="E23" i="4" s="1"/>
  <c r="AS23" i="4" s="1"/>
  <c r="K33" i="3"/>
  <c r="D26" i="4" s="1"/>
  <c r="E26" i="4" s="1"/>
  <c r="AS26" i="4" s="1"/>
  <c r="K29" i="3"/>
  <c r="D22" i="4" s="1"/>
  <c r="E22" i="4" s="1"/>
  <c r="K31" i="3"/>
  <c r="D24" i="4" s="1"/>
  <c r="E24" i="4" s="1"/>
  <c r="AS24" i="4" s="1"/>
  <c r="K32" i="3"/>
  <c r="D25" i="4" s="1"/>
  <c r="E25" i="4" s="1"/>
  <c r="AS25" i="4" s="1"/>
  <c r="E32" i="4"/>
  <c r="AS32" i="4" s="1"/>
  <c r="E33" i="4"/>
  <c r="AS33" i="4" s="1"/>
  <c r="E36" i="4"/>
  <c r="AS36" i="4" s="1"/>
  <c r="E34" i="4"/>
  <c r="AS34" i="4" s="1"/>
  <c r="E47" i="7"/>
  <c r="K36" i="3"/>
  <c r="E31" i="4"/>
  <c r="AS31" i="4" s="1"/>
  <c r="E48" i="7"/>
  <c r="K37" i="3"/>
  <c r="D30" i="4" s="1"/>
  <c r="E35" i="4"/>
  <c r="AS35" i="4" s="1"/>
  <c r="AL41" i="4"/>
  <c r="AQ41" i="4"/>
  <c r="X41" i="4"/>
  <c r="O80" i="6"/>
  <c r="N80" i="6"/>
  <c r="K54" i="3" s="1"/>
  <c r="M80" i="6"/>
  <c r="AG41" i="4"/>
  <c r="F41" i="4"/>
  <c r="M41" i="4"/>
  <c r="AR41" i="4"/>
  <c r="V41" i="4"/>
  <c r="AI41" i="4"/>
  <c r="S41" i="4"/>
  <c r="U41" i="4"/>
  <c r="H41" i="4"/>
  <c r="Q41" i="4"/>
  <c r="AC41" i="4"/>
  <c r="J41" i="4"/>
  <c r="O41" i="4"/>
  <c r="O50" i="4" s="1"/>
  <c r="I41" i="4"/>
  <c r="AE41" i="4"/>
  <c r="AP41" i="4"/>
  <c r="G41" i="4"/>
  <c r="AB41" i="4"/>
  <c r="AN41" i="4"/>
  <c r="Z41" i="4"/>
  <c r="L41" i="4"/>
  <c r="L50" i="4" s="1"/>
  <c r="R41" i="4"/>
  <c r="AM41" i="4"/>
  <c r="Y41" i="4"/>
  <c r="K41" i="4"/>
  <c r="AH41" i="4"/>
  <c r="E40" i="7"/>
  <c r="D19" i="7"/>
  <c r="E19" i="7" s="1"/>
  <c r="D20" i="7"/>
  <c r="E20" i="7" s="1"/>
  <c r="D18" i="7"/>
  <c r="AJ41" i="4"/>
  <c r="AD41" i="4"/>
  <c r="N41" i="4"/>
  <c r="AO41" i="4"/>
  <c r="AK41" i="4"/>
  <c r="AF41" i="4"/>
  <c r="P41" i="4"/>
  <c r="AA41" i="4"/>
  <c r="AA50" i="4" s="1"/>
  <c r="W41" i="4"/>
  <c r="AS42" i="4"/>
  <c r="AS45" i="4"/>
  <c r="AS46" i="4"/>
  <c r="AS47" i="4"/>
  <c r="AF50" i="4" l="1"/>
  <c r="AP50" i="4"/>
  <c r="AE50" i="4"/>
  <c r="AG50" i="4"/>
  <c r="AM50" i="4"/>
  <c r="S50" i="4"/>
  <c r="AJ50" i="4"/>
  <c r="AS44" i="4"/>
  <c r="F50" i="4"/>
  <c r="I50" i="4"/>
  <c r="Y50" i="4"/>
  <c r="AL50" i="4"/>
  <c r="R50" i="4"/>
  <c r="Z50" i="4"/>
  <c r="AH50" i="4"/>
  <c r="W50" i="4"/>
  <c r="Q50" i="4"/>
  <c r="AK50" i="4"/>
  <c r="AC50" i="4"/>
  <c r="P50" i="4"/>
  <c r="AI50" i="4"/>
  <c r="N50" i="4"/>
  <c r="AN50" i="4"/>
  <c r="V50" i="4"/>
  <c r="H50" i="4"/>
  <c r="G50" i="4"/>
  <c r="M50" i="4"/>
  <c r="J50" i="4"/>
  <c r="AD50" i="4"/>
  <c r="AS43" i="4"/>
  <c r="AO50" i="4"/>
  <c r="X50" i="4"/>
  <c r="K50" i="4"/>
  <c r="AQ50" i="4"/>
  <c r="U50" i="4"/>
  <c r="AB50" i="4"/>
  <c r="AR50" i="4"/>
  <c r="AS22" i="4"/>
  <c r="D55" i="7"/>
  <c r="E55" i="7"/>
  <c r="E30" i="4"/>
  <c r="AS30" i="4" s="1"/>
  <c r="D29" i="4"/>
  <c r="K44" i="3"/>
  <c r="E18" i="7"/>
  <c r="E31" i="7" s="1"/>
  <c r="D31" i="7" s="1"/>
  <c r="AS41" i="4"/>
  <c r="D21" i="7"/>
  <c r="D22" i="7" s="1"/>
  <c r="E22" i="7" s="1"/>
  <c r="AS50" i="4" l="1"/>
  <c r="K9" i="3"/>
  <c r="E32" i="7"/>
  <c r="D32" i="7" s="1"/>
  <c r="E29" i="4"/>
  <c r="E50" i="4" s="1"/>
  <c r="D23" i="7"/>
  <c r="E21" i="7"/>
  <c r="E23" i="7" s="1"/>
  <c r="E33" i="7" l="1"/>
  <c r="AS29" i="4"/>
  <c r="AS49" i="4" s="1"/>
  <c r="K10" i="3"/>
  <c r="D33" i="7" l="1"/>
  <c r="K11" i="3" s="1"/>
  <c r="E34" i="7"/>
  <c r="D34" i="7" l="1"/>
  <c r="K12" i="3" s="1"/>
  <c r="E35" i="7"/>
  <c r="D35" i="7" s="1"/>
  <c r="D58" i="7" l="1"/>
  <c r="E58" i="7"/>
  <c r="K1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BriefBuilder</author>
  </authors>
  <commentList>
    <comment ref="C3" authorId="0" shapeId="0" xr:uid="{FF777CD8-641E-4708-BEBE-D08277CEB019}">
      <text>
        <r>
          <rPr>
            <sz val="11"/>
            <color indexed="8"/>
            <rFont val="Aptos Narrow"/>
            <family val="2"/>
            <scheme val="minor"/>
          </rPr>
          <t>Bij renovatie alleen van belang in geval van verticale uitbreiding.</t>
        </r>
      </text>
    </comment>
    <comment ref="C4" authorId="0" shapeId="0" xr:uid="{3A6ACB10-BDCB-4006-A336-E4353DE882F5}">
      <text>
        <r>
          <rPr>
            <sz val="11"/>
            <color indexed="8"/>
            <rFont val="Aptos Narrow"/>
            <family val="2"/>
            <scheme val="minor"/>
          </rPr>
          <t>Bij renovatie alleen van belang in geval van horizontale uitbreiding.</t>
        </r>
      </text>
    </comment>
    <comment ref="C5" authorId="0" shapeId="0" xr:uid="{BBC40CD7-89C8-4FE2-970B-7D2847435859}">
      <text>
        <r>
          <rPr>
            <sz val="11"/>
            <color indexed="8"/>
            <rFont val="Aptos Narrow"/>
            <family val="2"/>
            <scheme val="minor"/>
          </rPr>
          <t>Korte beschrijving evt. toegestane (of nog aan te vragen) afwijkingen ten opzichte van het bestaande bestemmingsplan.</t>
        </r>
      </text>
    </comment>
    <comment ref="C6" authorId="0" shapeId="0" xr:uid="{AA2C8E10-8340-4A1A-B870-BD326A0C85E5}">
      <text>
        <r>
          <rPr>
            <sz val="11"/>
            <color indexed="8"/>
            <rFont val="Aptos Narrow"/>
            <family val="2"/>
            <scheme val="minor"/>
          </rPr>
          <t>Korte beschrijving evt. aandachtspunten zoals verontreiniging, gedeeld gebruik of specifieke gemeentelijke verordeningen.</t>
        </r>
      </text>
    </comment>
    <comment ref="C7" authorId="0" shapeId="0" xr:uid="{68321450-E8AF-429F-8E9D-E58106349A12}">
      <text>
        <r>
          <rPr>
            <sz val="11"/>
            <color indexed="8"/>
            <rFont val="Aptos Narrow"/>
            <family val="2"/>
            <scheme val="minor"/>
          </rPr>
          <t>Korte beschrijving evt. aandachtspunten (bijv. veiligheid, toegankelijkheid). Details in ruimtelijk PvE.</t>
        </r>
      </text>
    </comment>
    <comment ref="C8" authorId="0" shapeId="0" xr:uid="{69E890D1-6764-4968-A339-5D910E3B7278}">
      <text>
        <r>
          <rPr>
            <sz val="11"/>
            <color indexed="8"/>
            <rFont val="Aptos Narrow"/>
            <family val="2"/>
            <scheme val="minor"/>
          </rPr>
          <t>Korte beschrijving evt. aandachtspunten. Details in ruimtelijk PvE.</t>
        </r>
      </text>
    </comment>
    <comment ref="C9" authorId="0" shapeId="0" xr:uid="{0E4E5075-B03A-4465-8F55-C8101BAD8C6E}">
      <text>
        <r>
          <rPr>
            <sz val="11"/>
            <color indexed="8"/>
            <rFont val="Aptos Narrow"/>
            <family val="2"/>
            <scheme val="minor"/>
          </rPr>
          <t>Korte beschrijving evt. aandachtspunten. Details in ruimtelijk PvE.</t>
        </r>
      </text>
    </comment>
    <comment ref="C10" authorId="0" shapeId="0" xr:uid="{C2350471-412B-4700-A7C8-995E83D5463A}">
      <text>
        <r>
          <rPr>
            <sz val="11"/>
            <color indexed="8"/>
            <rFont val="Aptos Narrow"/>
            <family val="2"/>
            <scheme val="minor"/>
          </rPr>
          <t>Korte beschrijving functies buitenruimte (bijv. wel/niet publiek). Details in ruimtelijk PvE.</t>
        </r>
      </text>
    </comment>
    <comment ref="C12" authorId="0" shapeId="0" xr:uid="{156D86E4-F5AB-499E-82EA-38124236998F}">
      <text>
        <r>
          <rPr>
            <sz val="11"/>
            <color indexed="8"/>
            <rFont val="Aptos Narrow"/>
            <family val="2"/>
            <scheme val="minor"/>
          </rPr>
          <t>Indicatie van het aantal te huisvesten leerlingen dat gehanteerd moet worden als uitgangspunt voor het ontwerp, gebaseerd op een leerlingenprognose voor de langere termijn (min. 15 jaar), vastgesteld in overleg met gemeente.</t>
        </r>
      </text>
    </comment>
    <comment ref="C13" authorId="0" shapeId="0" xr:uid="{1BD02D56-E015-43C9-BFED-04FA3B94F8B2}">
      <text>
        <r>
          <rPr>
            <sz val="11"/>
            <color indexed="8"/>
            <rFont val="Aptos Narrow"/>
            <family val="2"/>
            <scheme val="minor"/>
          </rPr>
          <t>Indicatie van het aantal te huisvesten onderwijzende en onderwijsondersteunende medewerkers dat gehanteerd moet worden als uitgangspunt voor het ontwerp.</t>
        </r>
      </text>
    </comment>
    <comment ref="C14" authorId="0" shapeId="0" xr:uid="{0DEB3111-8BF2-4D4F-B284-0150EC0F8EB4}">
      <text>
        <r>
          <rPr>
            <sz val="11"/>
            <color indexed="8"/>
            <rFont val="Aptos Narrow"/>
            <family val="2"/>
            <scheme val="minor"/>
          </rPr>
          <t>Indicatie van het aantal te huisvesten aan stafmedewerkers (ondersteunend personeel, administratie, directie) dat gehanteerd moet worden als uitgangspunt voor het ontwerp.</t>
        </r>
      </text>
    </comment>
    <comment ref="C15" authorId="0" shapeId="0" xr:uid="{CD93F3DE-A6FE-4E51-B625-C5EE9A37DDBC}">
      <text>
        <r>
          <rPr>
            <sz val="11"/>
            <color indexed="8"/>
            <rFont val="Aptos Narrow"/>
            <family val="2"/>
            <scheme val="minor"/>
          </rPr>
          <t>Korte beschrijving van het type onderwijs/school (bijv. PO, VO, speciaal onderwijs, IKC, brede school).</t>
        </r>
      </text>
    </comment>
    <comment ref="C16" authorId="0" shapeId="0" xr:uid="{C74B2637-363B-46AD-B5C8-57EDA0F40F05}">
      <text>
        <r>
          <rPr>
            <sz val="11"/>
            <color indexed="8"/>
            <rFont val="Aptos Narrow"/>
            <family val="2"/>
            <scheme val="minor"/>
          </rPr>
          <t>Korte beschrijving van de identiteit of cultuur van de school (bijv. in termen van kernwaarden)</t>
        </r>
      </text>
    </comment>
    <comment ref="C17" authorId="0" shapeId="0" xr:uid="{CA98926E-4068-459A-8814-85BEB29BB7E6}">
      <text>
        <r>
          <rPr>
            <sz val="11"/>
            <color indexed="8"/>
            <rFont val="Aptos Narrow"/>
            <family val="2"/>
            <scheme val="minor"/>
          </rPr>
          <t>Korte beschrijving van de onderwijsvisie of het pedagogisch concept van de school.</t>
        </r>
      </text>
    </comment>
    <comment ref="C18" authorId="0" shapeId="0" xr:uid="{A1F3289D-D81C-4A19-B357-C2C88CC3A5E7}">
      <text>
        <r>
          <rPr>
            <sz val="11"/>
            <color indexed="8"/>
            <rFont val="Aptos Narrow"/>
            <family val="2"/>
            <scheme val="minor"/>
          </rPr>
          <t>Korte beschrijving van het doel en/of de missie van de school.</t>
        </r>
      </text>
    </comment>
    <comment ref="C19" authorId="0" shapeId="0" xr:uid="{B0DB55AC-5FB5-4347-8DB1-95538F1D7A72}">
      <text>
        <r>
          <rPr>
            <sz val="11"/>
            <color indexed="8"/>
            <rFont val="Aptos Narrow"/>
            <family val="2"/>
            <scheme val="minor"/>
          </rPr>
          <t>Korte beschrijving van doelgroep(en) van de school (bijv. leeftijdscategorie, woonlocatie, achtergrond)</t>
        </r>
      </text>
    </comment>
    <comment ref="C20" authorId="0" shapeId="0" xr:uid="{97669C38-571D-420C-B0F4-EC3E89943B37}">
      <text>
        <r>
          <rPr>
            <sz val="11"/>
            <color indexed="8"/>
            <rFont val="Aptos Narrow"/>
            <family val="2"/>
            <scheme val="minor"/>
          </rPr>
          <t>Korte beschrijving van de organisatiestructuur van de school (bijv. onder /midden /bovenbouw)</t>
        </r>
      </text>
    </comment>
    <comment ref="C21" authorId="0" shapeId="0" xr:uid="{BBD8A237-AFCF-48EA-9E53-360A0F8DB7F4}">
      <text>
        <r>
          <rPr>
            <sz val="11"/>
            <color indexed="8"/>
            <rFont val="Aptos Narrow"/>
            <family val="2"/>
            <scheme val="minor"/>
          </rPr>
          <t>Korte beschrijving van eventuele andere gebouwgebruikers/ functies die eigen ruimte(n) moeten krijgen in het gebouw.</t>
        </r>
      </text>
    </comment>
    <comment ref="C22" authorId="0" shapeId="0" xr:uid="{7E5A8211-F463-4ADA-AD7C-87964E567D81}">
      <text>
        <r>
          <rPr>
            <sz val="11"/>
            <color indexed="8"/>
            <rFont val="Aptos Narrow"/>
            <family val="2"/>
            <scheme val="minor"/>
          </rPr>
          <t>Korte beschrijving van evt. activiteiten die buiten schooltijden plaats moeten kunnen vinden binnen de bestaande ruimtes (bijv. volwassenenonderwijs, speeltuingebruik door buurt).</t>
        </r>
      </text>
    </comment>
    <comment ref="C23" authorId="0" shapeId="0" xr:uid="{1749AE37-FF4F-4C93-AC66-865C50AC441E}">
      <text>
        <r>
          <rPr>
            <sz val="11"/>
            <color indexed="8"/>
            <rFont val="Aptos Narrow"/>
            <family val="2"/>
            <scheme val="minor"/>
          </rPr>
          <t>Korte beschrijving van het beoogde huisvestingsconcept en de achterliggende doelstellingen (bijv. stimuleren bepaalde leerstijlen, of bepaalde vorm van interactie tussen de gebouwgebruikers).</t>
        </r>
      </text>
    </comment>
    <comment ref="C24" authorId="0" shapeId="0" xr:uid="{BF357216-7D8B-4F72-923C-E7ED20B2AF3E}">
      <text>
        <r>
          <rPr>
            <sz val="11"/>
            <color indexed="8"/>
            <rFont val="Aptos Narrow"/>
            <family val="2"/>
            <scheme val="minor"/>
          </rPr>
          <t>Korte beschrijving van de beoogde ruimtelijke indeling van het gebouw. Denk aan clusteren of juist scheiden van ruimtes/functies (bijv. onder/ midden/ hoogbouw). Details in ruimtelijk PvE.</t>
        </r>
      </text>
    </comment>
    <comment ref="C25" authorId="0" shapeId="0" xr:uid="{AB62B13A-C494-4E85-B3E8-882DC581C3C4}">
      <text>
        <r>
          <rPr>
            <sz val="11"/>
            <color indexed="8"/>
            <rFont val="Aptos Narrow"/>
            <family val="2"/>
            <scheme val="minor"/>
          </rPr>
          <t>Korte beschrijving van de beoogde logistiek van het gebouw in termen van het wel of niet scheiden van gebruikersgroepen met betrekking tot de entree(s) van het gebouw. Details in ruimtelijk PvE.</t>
        </r>
      </text>
    </comment>
    <comment ref="C26" authorId="0" shapeId="0" xr:uid="{E59DEC8F-F561-4800-AFA7-7D0119FBBE57}">
      <text>
        <r>
          <rPr>
            <sz val="11"/>
            <color indexed="8"/>
            <rFont val="Aptos Narrow"/>
            <family val="2"/>
            <scheme val="minor"/>
          </rPr>
          <t>Korte beschrijving van functies/ruimtes die gedeeld kunnen worden door alle gebouwgebruikers (bijv. centrale hal of bibliotheek). Details in ruimtelijk PvE.</t>
        </r>
      </text>
    </comment>
    <comment ref="C27" authorId="0" shapeId="0" xr:uid="{47FEA519-9F67-48E7-8FEC-E28464C8C6E9}">
      <text>
        <r>
          <rPr>
            <sz val="11"/>
            <color indexed="8"/>
            <rFont val="Aptos Narrow"/>
            <family val="2"/>
            <scheme val="minor"/>
          </rPr>
          <t>Korte beschrijving van de ruimtelijke typologie van onderwijsruimten in relatie tot de beoogde werkvormen en groepsgroottes. Denk aan ruimtedifferentiatie, mate van open- en geslotenheid, ruimtegrootte, inrichting (bijv. traditionele klaslokalen versus leerpleinen). Details in ruimtelijk PvE.</t>
        </r>
      </text>
    </comment>
    <comment ref="C28" authorId="0" shapeId="0" xr:uid="{68BAFB41-575B-47EA-B2E7-2DC8AC6CB5D0}">
      <text>
        <r>
          <rPr>
            <sz val="11"/>
            <color indexed="8"/>
            <rFont val="Aptos Narrow"/>
            <family val="2"/>
            <scheme val="minor"/>
          </rPr>
          <t>Korte beschrijving van de gewenste uitstraling / esthetiek l (bijv. in de vorm van trefwoorden).</t>
        </r>
      </text>
    </comment>
    <comment ref="C29" authorId="0" shapeId="0" xr:uid="{77151135-CD93-41F1-9965-F733C33EA52A}">
      <text>
        <r>
          <rPr>
            <sz val="11"/>
            <color indexed="8"/>
            <rFont val="Aptos Narrow"/>
            <family val="2"/>
            <scheme val="minor"/>
          </rPr>
          <t>Korte beschrijving van de gewenste uitstraling / esthetiek l (bijv. in de vorm van trefwoorden).</t>
        </r>
      </text>
    </comment>
    <comment ref="C30" authorId="0" shapeId="0" xr:uid="{0A1D8410-1047-4DFD-8652-CD09A67C6B02}">
      <text>
        <r>
          <rPr>
            <sz val="11"/>
            <color indexed="8"/>
            <rFont val="Aptos Narrow"/>
            <family val="2"/>
            <scheme val="minor"/>
          </rPr>
          <t>Korte beschrijving van de gewenste uitstraling / esthetiek l (bijv. in de vorm van trefwoorden).</t>
        </r>
      </text>
    </comment>
    <comment ref="C63" authorId="0" shapeId="0" xr:uid="{7FD85180-8F8D-4ECC-8305-7539218AD180}">
      <text>
        <r>
          <rPr>
            <sz val="11"/>
            <color indexed="8"/>
            <rFont val="Aptos Narrow"/>
            <family val="2"/>
            <scheme val="minor"/>
          </rPr>
          <t>Conform NTA 8800.</t>
        </r>
      </text>
    </comment>
    <comment ref="D63" authorId="0" shapeId="0" xr:uid="{3714CFD2-8BFF-478E-A5A7-08BCF155D16C}">
      <text>
        <r>
          <rPr>
            <sz val="11"/>
            <color indexed="8"/>
            <rFont val="Aptos Narrow"/>
            <family val="2"/>
            <scheme val="minor"/>
          </rPr>
          <t>Energieneutraal</t>
        </r>
      </text>
    </comment>
    <comment ref="C64" authorId="0" shapeId="0" xr:uid="{802384D9-6CEF-47A3-89CF-C37A49F716B2}">
      <text>
        <r>
          <rPr>
            <sz val="11"/>
            <color indexed="8"/>
            <rFont val="Aptos Narrow"/>
            <family val="2"/>
            <scheme val="minor"/>
          </rPr>
          <t>Het maximum primair fossiel energiegebruik per m² gebruiksoppervlakte per jaar. Te bepalen conform NTA 8800.</t>
        </r>
      </text>
    </comment>
    <comment ref="C65" authorId="0" shapeId="0" xr:uid="{0002446B-0D45-4E60-B2B5-07C13E4DAD9E}">
      <text>
        <r>
          <rPr>
            <sz val="11"/>
            <color indexed="8"/>
            <rFont val="Aptos Narrow"/>
            <family val="2"/>
            <scheme val="minor"/>
          </rPr>
          <t>Het aandeel hernieuwbare energie, te bepalen door de hoeveelheid hernieuwbare energie (afkomstig uit bijv. zon, biomassa, buitenlucht en bodem) te delen door het totaal van hernieuwbare energie en primair fossiel energiegebruik. Te bepalen conform NTA 8800.</t>
        </r>
      </text>
    </comment>
    <comment ref="C67" authorId="0" shapeId="0" xr:uid="{29C41D42-7AA4-4F18-B06F-4C25B4A98167}">
      <text>
        <r>
          <rPr>
            <sz val="11"/>
            <color indexed="8"/>
            <rFont val="Aptos Narrow"/>
            <family val="2"/>
            <scheme val="minor"/>
          </rPr>
          <t>Het werkelijke, gemeten energiegebruik per m^2^ gebruiksoppervlakte dat is af te lezen op de (hoofd)meters van het gebouw. Dit is zowel gebouwgebonden (zoals verwarmen, koelen) als gebruiksgebonden (bijvoorbeeld computerapparatuur, processen) energiegebruik. Te bepalen conform WEii-protocol.</t>
        </r>
      </text>
    </comment>
    <comment ref="C78" authorId="0" shapeId="0" xr:uid="{44057B77-E561-4AF2-8386-8465D009CE24}">
      <text>
        <r>
          <rPr>
            <sz val="11"/>
            <color indexed="8"/>
            <rFont val="Aptos Narrow"/>
            <family val="2"/>
            <scheme val="minor"/>
          </rPr>
          <t>De maximale hoeveelheid CO₂ die vrij mag komen tijdens productie en verwerking van de nieuw toe te passen materialen. Te berekenen op basis van 'Rekenprotocol Paris Proof Materiaalgebonden Emissies'.</t>
        </r>
      </text>
    </comment>
    <comment ref="C79" authorId="0" shapeId="0" xr:uid="{29FAFB3F-88AF-4A32-B83F-4D0B5CE73D85}">
      <text>
        <r>
          <rPr>
            <sz val="11"/>
            <color indexed="8"/>
            <rFont val="Aptos Narrow"/>
            <family val="2"/>
            <scheme val="minor"/>
          </rPr>
          <t>Duurzaamheid van het materiaalgebruik, uitgedrukt als aandeel van het totale gewicht van de nieuw toe te passen materialen. Te bepalen op basis van Material Circularity Indicator (MCI) van de EllenMacArthur Foundation.</t>
        </r>
      </text>
    </comment>
    <comment ref="C80" authorId="0" shapeId="0" xr:uid="{23A29AD7-ADCB-4994-BD2F-9D367E6D5FB5}">
      <text>
        <r>
          <rPr>
            <sz val="11"/>
            <color indexed="8"/>
            <rFont val="Aptos Narrow"/>
            <family val="2"/>
            <scheme val="minor"/>
          </rPr>
          <t>De mate waarin nieuw aan te brengen objecten in het gebouw demontabel dienen te zijn. Te berekenen op basis van de publicatie Circular Buildings - een meetmethodiek voor losmaakbaarheid v2.0.</t>
        </r>
      </text>
    </comment>
    <comment ref="C105" authorId="0" shapeId="0" xr:uid="{6B58C929-E9D5-48B8-B0E1-E2E69B8188DC}">
      <text>
        <r>
          <rPr>
            <sz val="11"/>
            <color indexed="8"/>
            <rFont val="Aptos Narrow"/>
            <family val="2"/>
            <scheme val="minor"/>
          </rPr>
          <t>Specificatie van de gevraagde extra capaciteit van voedende voorzieningen en de distributie (leidingwerk, schachten en kanalen) van de installaties (elektra, werktuigbouw, ICT). Houdt bij vaststellen percentage rekening met evt. eisen voor uitbreidingsmogelijkheden (zie DP-100 Adaptiviteit).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Dorreman, Yoran</author>
  </authors>
  <commentList>
    <comment ref="N16" authorId="0" shapeId="0" xr:uid="{EF0CE113-F72A-46FB-A8DF-4CF7D8B2E7F8}">
      <text>
        <r>
          <rPr>
            <b/>
            <sz val="9"/>
            <color indexed="81"/>
            <rFont val="Tahoma"/>
            <family val="2"/>
          </rPr>
          <t>Dorreman, Yoran:</t>
        </r>
        <r>
          <rPr>
            <sz val="9"/>
            <color indexed="81"/>
            <rFont val="Tahoma"/>
            <family val="2"/>
          </rPr>
          <t xml:space="preserve">
Sluit niet aan is 2781 MAAR kengetat niet gelinkt
</t>
        </r>
      </text>
    </comment>
  </commentList>
</comments>
</file>

<file path=xl/sharedStrings.xml><?xml version="1.0" encoding="utf-8"?>
<sst xmlns="http://schemas.openxmlformats.org/spreadsheetml/2006/main" count="1558" uniqueCount="643">
  <si>
    <t>eenheid</t>
  </si>
  <si>
    <t>INVULLEN:</t>
  </si>
  <si>
    <t>SCENARIO 1 (alleen BVO is bekend)</t>
  </si>
  <si>
    <t>BVO</t>
  </si>
  <si>
    <t>&lt;&lt;ALTIJD INVULLEN</t>
  </si>
  <si>
    <t>OF</t>
  </si>
  <si>
    <t>SCENARIO 2 (meer hoeveelheden bekend)</t>
  </si>
  <si>
    <t>Bruto inhoud</t>
  </si>
  <si>
    <t>m3</t>
  </si>
  <si>
    <t>Bebouwd oppervlak</t>
  </si>
  <si>
    <t>m2</t>
  </si>
  <si>
    <t>Bruto gevel oppervlak</t>
  </si>
  <si>
    <t>Gevelopeningen</t>
  </si>
  <si>
    <t>Bruto dak oppervlak</t>
  </si>
  <si>
    <t>Dakopeningen</t>
  </si>
  <si>
    <t>Bruto binnenwandoppervlak</t>
  </si>
  <si>
    <t>Binnenwandopeningen</t>
  </si>
  <si>
    <t>Bruto terrein oppervlak</t>
  </si>
  <si>
    <t>KEUZES (VOOR BEIDE SCENARIO'S)</t>
  </si>
  <si>
    <t>KEUZE:</t>
  </si>
  <si>
    <t>Voldoen aan NEN9120</t>
  </si>
  <si>
    <t>nee</t>
  </si>
  <si>
    <t>BBL, A, B of C</t>
  </si>
  <si>
    <t>BBL</t>
  </si>
  <si>
    <t>BENG,  Frisse scholen Engergie klasse A,B of C, ENG of 0 op de meter</t>
  </si>
  <si>
    <t>BENG</t>
  </si>
  <si>
    <t xml:space="preserve">Aandeel biobased hergebruikt of gerecycled </t>
  </si>
  <si>
    <t>15%</t>
  </si>
  <si>
    <t>Losmaakbaarheidsindex</t>
  </si>
  <si>
    <t>30%</t>
  </si>
  <si>
    <t xml:space="preserve">Subbemetering </t>
  </si>
  <si>
    <t>Afvalwater hergebruiksysteem</t>
  </si>
  <si>
    <t>Grijswatersysteem</t>
  </si>
  <si>
    <t>Groendak</t>
  </si>
  <si>
    <t>Waterretentie systeem</t>
  </si>
  <si>
    <t xml:space="preserve">Extra beveiligingsmaatregelen </t>
  </si>
  <si>
    <t>Toegangscontrolesysteem</t>
  </si>
  <si>
    <t>Camerasysteem</t>
  </si>
  <si>
    <t>Vandaalbestendigheidsmaatregelen</t>
  </si>
  <si>
    <t>Slim gebouw</t>
  </si>
  <si>
    <t>VERDELING FUNCTIES</t>
  </si>
  <si>
    <t>School</t>
  </si>
  <si>
    <t>Kinderdagopvang</t>
  </si>
  <si>
    <t>Gymzaal</t>
  </si>
  <si>
    <t>Totaal (100%)</t>
  </si>
  <si>
    <t>Doelen en Uitgangspunten Generiek PvE</t>
  </si>
  <si>
    <t>POM</t>
  </si>
  <si>
    <t>Bovenliggend object naam</t>
  </si>
  <si>
    <t>Objectnaam</t>
  </si>
  <si>
    <t>Kenmerknaam</t>
  </si>
  <si>
    <t>Waarde</t>
  </si>
  <si>
    <t>Eenheid</t>
  </si>
  <si>
    <t>Parameter voor model?</t>
  </si>
  <si>
    <t>Zo ja welke fase?</t>
  </si>
  <si>
    <t>Hoe?</t>
  </si>
  <si>
    <t>Parameter Financieel</t>
  </si>
  <si>
    <t>Keuze velden</t>
  </si>
  <si>
    <t>Beoordelingskader</t>
  </si>
  <si>
    <t>Hoe</t>
  </si>
  <si>
    <t>Fase</t>
  </si>
  <si>
    <t>Wanneer</t>
  </si>
  <si>
    <t>Een betere school</t>
  </si>
  <si>
    <t>Kenmerken locatie</t>
  </si>
  <si>
    <t>Bouwhoogte</t>
  </si>
  <si>
    <t>m</t>
  </si>
  <si>
    <t>Ja</t>
  </si>
  <si>
    <t>Gebied</t>
  </si>
  <si>
    <t>Uit Omgevingsplan of in te voeren</t>
  </si>
  <si>
    <t>Randvoorwaarde voor POM</t>
  </si>
  <si>
    <t xml:space="preserve">In ontwerpgeneratie </t>
  </si>
  <si>
    <t xml:space="preserve">gebouw </t>
  </si>
  <si>
    <t>Bebouwingspercentage</t>
  </si>
  <si>
    <t>%</t>
  </si>
  <si>
    <t>ja</t>
  </si>
  <si>
    <t xml:space="preserve">In gebiedsuitgangspunten </t>
  </si>
  <si>
    <t xml:space="preserve">Gebied </t>
  </si>
  <si>
    <t>Eventuele ontheffingen/afwijkingen</t>
  </si>
  <si>
    <t>n.v.t.</t>
  </si>
  <si>
    <t>Bijzondere aandachtspunten</t>
  </si>
  <si>
    <t>Verkeerssituatie</t>
  </si>
  <si>
    <t>De verkeersontsluiting van het Integraal Kindcentrum is gericht op langzaam verkeer. De locatie is primair bereikbaar te voet en per fiets. Autoverkeer wordt zoveel mogelijk beperkt en gescheiden van loop- en fietsroutes van kinderen. De verkeerssituatie is ingericht op veilige breng- en haalmomenten binnen een woonomgeving.</t>
  </si>
  <si>
    <t>Handmatig door gebruiker</t>
  </si>
  <si>
    <t>Sliderkeuze 1-5 :
1 Voldoet helemaal niet
2Voldoet in grote mate niet
3 Voldoet in beperte mate
4 voldoet in grote mate
5 Voldoet voledig</t>
  </si>
  <si>
    <t>Afgewogen besluit</t>
  </si>
  <si>
    <t>Parkeren motorvoertuigen</t>
  </si>
  <si>
    <t>Parkeren voor motorvoertuigen is beperkt en functioneel van aard en bedoeld voor personeel, leveranciers en incidenteel bezoek. Parkeren vindt plaats op of nabij de kavel, passend binnen het stedenbouwkundig kader en geldende parkeernormen. Uitgangspunt is het voorkomen van verkeersonveiligheid en overlast voor de omgeving.</t>
  </si>
  <si>
    <t>In te tekenen</t>
  </si>
  <si>
    <t>Sliderkeuze 1-5</t>
  </si>
  <si>
    <t>Stalling fietsen/scooters</t>
  </si>
  <si>
    <t>Voor leerlingen en medewerkers wordt voorzien in voldoende stallingsmogelijkheden voor fietsen en scooters. De stallingen zijn goed bereikbaar, overzichtelijk en veilig gesitueerd in relatie tot de entrees van het gebouw. Fietsstallingen vormen een integraal onderdeel van de verkeersafwikkeling rondom het IKC</t>
  </si>
  <si>
    <t>Functies buitenruimte</t>
  </si>
  <si>
    <t>De buitenruimte maakt functioneel onderdeel uit van het Integraal Kindcentrum en is primair bedoeld voor gebruik door leerlingen van de basisschool en kinderen van de voorschoolse educatie. De buitenruimte wordt ingericht als speel- en verblijfsruimte die het onderwijs en de ontwikkeling van kinderen ondersteunt.
De buitenruimte voor de voorschoolse educatie is afgebakend en niet openbaar toegankelijk. De buitenruimte van de basisschool is in principe niet publiek toegankelijk en wordt gebruikt tijdens schooltijden en onder toezicht. Buiten schooltijden kan medegebruik plaatsvinden indien dit organisatorisch en veilig kan worden ingericht.
De buitenruimte is gericht op spelen, bewegen en verblijven en vormt een duidelijke overgang tussen gebouw en omgeving.</t>
  </si>
  <si>
    <t>Wet- en regelgeving</t>
  </si>
  <si>
    <t>Het project moet voldoen aan alle relevante vigerende wet- en regelgeving (o.a. Bbl, Arbowetgeving), waaronder, maar niet beperkt tot, de wet- en regelgeving die genoemd wordt bij de gedefinieerde eisen. 
Bij verwijzingen naar externe normen (bijv. NEN -normen) moet worden uitgegaan van de meest recente versie en alle delen van de norm tenzij anders aangegeven.</t>
  </si>
  <si>
    <t>Niet</t>
  </si>
  <si>
    <t>Een functionele school</t>
  </si>
  <si>
    <t>Kenmerken school</t>
  </si>
  <si>
    <t>Aantal leerlingen</t>
  </si>
  <si>
    <t>Leerlingen</t>
  </si>
  <si>
    <t>Start</t>
  </si>
  <si>
    <t>IN te voeren</t>
  </si>
  <si>
    <t>Aantal onderwijsmedewerkers</t>
  </si>
  <si>
    <t>Docenten</t>
  </si>
  <si>
    <t>Aantal stafmedewerkers</t>
  </si>
  <si>
    <t>Stafmedewerkers</t>
  </si>
  <si>
    <t>Onderwijstype</t>
  </si>
  <si>
    <t>Integraal Kindcentrum (IKC) met primair onderwijs en voorschoolse educatie. Binnen het gebouw is ruimte voor onderwijs aan kinderen van 4 tot 12 jaar en voorschoolse educatie voor kinderen van 2 tot 4 jaar. Eventueel medegebruik voor buitenschoolse opvang vindt plaats binnen de onderwijsruimten.</t>
  </si>
  <si>
    <t>Identiteit/cultuur</t>
  </si>
  <si>
    <t>De school kenmerkt zich door een open en inclusieve cultuur, gericht op samenwerking, veiligheid en ontwikkeling. De huisvesting ondersteunt ontmoeting, overzicht en een prettige leer- en werkomgeving voor leerlingen en medewerkers.</t>
  </si>
  <si>
    <t>Onderwijsvisie</t>
  </si>
  <si>
    <t>Het onderwijs is gericht op een evenwichtige ontwikkeling van kinderen, waarbij klassikale instructie wordt gecombineerd met zelfstandig werken en samenwerken. De leeromgeving faciliteert verschillende werkvormen en sluit aan bij de ontwikkelingsfase van leerlingen.</t>
  </si>
  <si>
    <t>Missie</t>
  </si>
  <si>
    <t>De missie van de school is het bieden van kwalitatief goed primair onderwijs in een veilige en stimulerende omgeving, waarin leerlingen zich cognitief, sociaal en persoonlijk kunnen ontwikkelen.</t>
  </si>
  <si>
    <t>Doelgroep</t>
  </si>
  <si>
    <t>De doelgroep bestaat uit kinderen van 2 tot 12 jaar uit de directe omgeving van de school. De school bedient een gemengde populatie leerlingen uit de wijk en biedt passend onderwijs binnen het reguliere primair onderwijs en voorschoolse educatie.</t>
  </si>
  <si>
    <t>Structuur</t>
  </si>
  <si>
    <t>De school is georganiseerd volgens een onderbouw-, middenbouw- en bovenbouwstructuur, met een logische clustering van onderwijsruimten per bouw. Deze structuur ondersteunt overzicht, herkenbaarheid en efficiënt gebruik van ruimten.</t>
  </si>
  <si>
    <t>PvE-Tool</t>
  </si>
  <si>
    <t>Aanvullende functies/gebruikers</t>
  </si>
  <si>
    <t>Naast het primair onderwijs en de voorschoolse educatie zijn er geen aanvullende externe gebouwgebruikers die beschikken over eigen, exclusieve ruimten binnen het gebouw. Eventuele buitenschoolse opvang en andere activiteiten maken gebruik van medegebruik van onderwijsruimten binnen vastgestelde tijden en afspraken. De gymzaal is een afzonderlijke functie en valt buiten het onderwijsdeel van het gebouw.</t>
  </si>
  <si>
    <t>Combinatiefuncties</t>
  </si>
  <si>
    <t>Buiten schooltijden kunnen de bestaande ruimten beperkt worden ingezet voor medegebruik, zoals buitenschoolse opvang en incidentele buurt- of wijkgerichte activiteiten. Dit betreft laagdrempelige activiteiten die passen binnen de onderwijsfunctie, zoals ontmoetingen, cursussen of kleinschalige bijeenkomsten. Het medegebruik vindt plaats binnen vastgestelde tijden en afspraken, zonder dat hiervoor aanvullende ruimten of aanpassingen aan het programma nodig zijn.</t>
  </si>
  <si>
    <t>Huisvestingsconcept</t>
  </si>
  <si>
    <t>Huisvestingsconcept algemeen</t>
  </si>
  <si>
    <t>Het beoogde huisvestingsconcept is gericht op een functionele, overzichtelijke en flexibele leeromgeving die verschillende onderwijsactiviteiten ondersteunt. De huisvesting faciliteert zowel klassikale instructie als zelfstandig werken en samenwerken in kleinere groepen. Ruimten zijn zodanig georganiseerd dat ontmoeting en interactie tussen leerlingen en medewerkers mogelijk is, zonder dat dit ten koste gaat van rust en concentratie.
De achterliggende doelstelling is het creëren van een toekomstbestendig gebouw dat meebeweegt met veranderende onderwijsbehoeften, efficiënt ruimtegebruik mogelijk maakt en bijdraagt aan een prettige en veilige leer- en werkomgeving voor alle gebruikers.</t>
  </si>
  <si>
    <t>Ruimtelijke indeling</t>
  </si>
  <si>
    <t>De ruimtelijke indeling van het gebouw is gebaseerd op een heldere zonering en logische clustering van functies. Onderwijsruimten zijn geclusterd per bouw (onderbouw, middenbouw en bovenbouw), waardoor overzicht en herkenbaarheid voor leerlingen en medewerkers ontstaat. Ondersteunende functies en gedeelde voorzieningen zijn centraal gepositioneerd en goed bereikbaar vanuit de onderwijsclusters.
De ruimten voor voorschoolse educatie vormen een eigen, duidelijk herkenbare zone binnen het gebouw, met een directe relatie met de buitenruimte. Functies met een mogelijk intensiever gebruik, zoals de gymzaal, zijn ruimtelijk zodanig gescheiden of gepositioneerd dat verstoring van het onderwijs wordt beperkt.</t>
  </si>
  <si>
    <t>Logistiek</t>
  </si>
  <si>
    <t>De logistiek van het gebouw is gericht op overzicht en veiligheid. Er wordt uitgegaan van een duidelijke hoofdentree voor het primair onderwijs, met een logische en overzichtelijke routing naar de onderwijsruimten. Voor de voorschoolse educatie wordt voorzien in een eigen entree of een duidelijk gescheiden toegang, zodat verschillende gebruikersgroepen op een veilige en herkenbare wijze het gebouw kunnen betreden en verlaten.
Bezoekers en medewerkers maken gebruik van de hoofdentree, waarbij interne routes zodanig zijn ingericht dat kruisende stromen zoveel mogelijk worden beperkt. Deze opzet draagt bij aan rust, veiligheid en efficiënt gebruik van het gebouw.</t>
  </si>
  <si>
    <t>Gemeenschappelijke ruimtes</t>
  </si>
  <si>
    <t>Binnen het gebouw zijn enkele functies en ruimten bedoeld voor gedeeld gebruik door de verschillende gebouwgebruikers. Het betreft met name een centrale hal of ontmoetingsruimte die fungeert als entreegebied en informeel verblijfsgebied. Daarnaast kunnen ondersteunende ruimten, zoals een leer- of werkgebied, een kleine bibliotheekvoorziening of multifunctionele ruimte, flexibel worden ingezet door zowel onderwijs, voorschoolse educatie als eventueel medegebruik buiten schooltijden.
Het gedeeld gebruik van deze ruimten draagt bij aan efficiënt ruimtegebruik en ontmoeting, zonder dat dit leidt tot extra ruimtevraag.</t>
  </si>
  <si>
    <t>Typologie onderwijsruimten</t>
  </si>
  <si>
    <t>De onderwijsruimten zijn opgezet volgens een gedifferentieerde ruimtelijke typologie die aansluit op verschillende werkvormen en groepsgroottes. Uitgangspunt is een combinatie van overwegend gesloten groepsruimten voor klassikale instructie, aangevuld met aanvullende ruimten voor zelfstandig werken en samenwerken in kleinere groepen.
De groepsruimten bieden plaats aan reguliere groepsgroottes en zijn zodanig van omvang dat flexibel gebruik mogelijk is. Aanvullende ruimten in de nabijheid van de groepsruimten ondersteunen differentiatie in het onderwijs, zoals werken in kleine groepen of individueel werken. De mate van open- en geslotenheid is afgestemd op een balans tussen rust, overzicht en interactie.
De inrichting van de onderwijsruimten is flexibel en aanpasbaar, zodat verschillende onderwijsactiviteiten en toekomstige veranderingen in het onderwijsprogramma kunnen worden gefaciliteerd.</t>
  </si>
  <si>
    <t>Een aantrekkelijke school</t>
  </si>
  <si>
    <t>Uitstraling exterieur</t>
  </si>
  <si>
    <t>Beschrijving</t>
  </si>
  <si>
    <t>eigentijds en herkenbaar, passend binnen de schaal van de woonomgeving,  uitnodigend en kindvriendelijk, overzichtelijk en transparant, duurzaam en toekomstbestendig, 
zorgvuldig ingepast in de omgeving</t>
  </si>
  <si>
    <t>Uitstraling interieur</t>
  </si>
  <si>
    <t>licht en overzichtelijk, rustig en veilig, flexibel en aanpasbaar, warm en uitnodigend, functioneel en duurzaam, stimulerend voor leren en ontmoeten</t>
  </si>
  <si>
    <t>Uitstraling buitenruimten</t>
  </si>
  <si>
    <t>groen en kindvriendelijk, veilig en overzichtelijk, uitnodigend tot spelen en bewegen, robuust en onderhoudsvriendelijk, passend bij de woonomgeving, functioneel en duurzaam</t>
  </si>
  <si>
    <t>Een inclusieve school</t>
  </si>
  <si>
    <t>Relevante norm(en)</t>
  </si>
  <si>
    <t>NEN 9120</t>
  </si>
  <si>
    <t>Voldoen aan NEN9120 JA of Nee</t>
  </si>
  <si>
    <t>Ruimtelijke aspecten</t>
  </si>
  <si>
    <t>Navigatie ('wayfinding')</t>
  </si>
  <si>
    <t>Gebruikers moeten eenvoudig hun weg kunnen vinden binnen en buiten het gebouw, met een minimale noodzaak voor bewegwijzering. Denk aan natuurlijke looproutes, zichtlijnen en herkenningspunten. 
Bewegwijzering moet duidelijk zijn voor alle gebruikers, ongeacht leeftijd of fysieke mogelijkheden.</t>
  </si>
  <si>
    <t>Hoogteverschillen</t>
  </si>
  <si>
    <t>Alle verdiepingen zelfstandig bereikbaar zijn voor alle gebruikers, ongeacht leeftijd of fysieke mogelijkheden. Op de verdiepingen zelf moeten hoogteverschillen en drempels vermeden worden. Waar hoogteverschillen niet te vermijden zijn, moet een vaste opstap, lift, trap en/of hellingbaan worden toegepast.</t>
  </si>
  <si>
    <t>Ruimte voor gebruik mobiliteitshulpmiddelen</t>
  </si>
  <si>
    <t>Het gebouw moet in verblijfsruimtes en de routes daar naartoe voorzien in voldoende ruimte voor het gebruik van mobiliteitshulpmiddelen. Denk aan doorgangsbreedtes, passeerruimte in gangen, draaicirkels bij trappen, manoeuvreerruimte bij deuren, en bedieningsruimte bij ramen, kasten, zonwering en andere bedienbare gebouwelementen.</t>
  </si>
  <si>
    <t>Automatisch door POM</t>
  </si>
  <si>
    <t xml:space="preserve">Toetsing van gangbreedtes en en draaijcirkels </t>
  </si>
  <si>
    <t xml:space="preserve">Gebouw </t>
  </si>
  <si>
    <t>Ruimten voor ondersteuning/behandeling</t>
  </si>
  <si>
    <t>Het gebouw moet voorzien in behandel- en/of spreekruimte(n) waar leerlingen kunnen afspreken met zorg- of ondersteuningspersoneel (bijv. maatschappelijk werkers, onderwijspsychologen, logopedisten). Kan gaan om specifieke ruimten, maar ook dubbel ruimtegebruik is mogelijk. Comfort, privacy en rust zijn belangrijke kwaliteiten.</t>
  </si>
  <si>
    <t>Ruimtes zijn onderdeel van de ruimtestaat</t>
  </si>
  <si>
    <t>Ruimte voor opslag hulpmiddelen</t>
  </si>
  <si>
    <t>Het gebouw moet beschikken over opslagruimte voor hulpmiddelen die door leerlingen met een beperking worden gebruikt (bijv. rolstoelen, loophulpmiddelen, aangepaste stoelen en tafels, brailleleesapparatuur). Opslag moet gepositioneerd zijn in de directe omgeving van de onderwijsruimten waar de hulpmiddelen worden gebruikt.</t>
  </si>
  <si>
    <t>Diversiteit in plekken</t>
  </si>
  <si>
    <t>Voorzie in verschillende soorten ruimtes die aansluiten op uiteenlopende voorkeuren en behoeftes. Denk niet alleen aan klassieke onderwijsruimtes, maar ook stilteplekken voor geconcentreerd werken, groepsruimten voor samenwerking en informele leeromgevingen waar leerlingen zich op hun gemak voelen.</t>
  </si>
  <si>
    <t>Technische aspecten</t>
  </si>
  <si>
    <t>Binnenklimaat</t>
  </si>
  <si>
    <t>Sommige gebruikers zijn gevoeliger voor geluid, licht, temperatuur en allergenen dan anderen. Vanuit dit perspectief is het belangrijk dat binnenklimaat in de school beter is dan wettelijk minimum (zie DP-13).</t>
  </si>
  <si>
    <t>Aanpasbaarheid</t>
  </si>
  <si>
    <t>Verblijfsruimtes moeten flexibel in te richten zijn om aan te sluiten op de diverse behoeften van gebruikers. Aandachtspunten zijn het kunnen aanpassen van de inrichting en de aanpasbaarheid van binnenklimaat (te openen ramen, aanpassen verlichting, aanpassen verwarming)</t>
  </si>
  <si>
    <t>Aansluitingen hulpmiddelen</t>
  </si>
  <si>
    <t>In de school moeten voldoende en goed gepositioneerde aansluitingen beschikbaar zijn voor het opladen en gebruiken van hulpmiddelen door leerlingen en medewerkers met een beperking. Denk aan stroompunten voor het opladen van elektrische rolstoelen, gehoorversterkende apparatuur of andere hulpmiddelen.</t>
  </si>
  <si>
    <t>Bedieningsgemak</t>
  </si>
  <si>
    <t>Bedienbare elementen (o.a. zonwering, deuren, ramen, verlichting) moeten veilig en eenvoudig te bedienen zijn voor alle gebouwgebruikers, ongeacht leeftijd of fysieke mogelijkheden. Denk aan reikhoogtes, zichtbaarheid en bedienweerstand. Bij voorkeur zijn zware bouwdelen zoals brandwerende deuren automatisch of elektrisch te bedienen.</t>
  </si>
  <si>
    <t>Belevingsaspecten</t>
  </si>
  <si>
    <t>Prikkelarme plekken</t>
  </si>
  <si>
    <t>De huisvesting moet een rustige uitstraling en een prettige akoestiek hebben zodat leerlingen met een verhoogde gevoeligheid voor prikkels zich beter kunnen concentreren. Er moet voorzien worden in speciale prikkelarme ruimten of plekken waar leerlingen zich kunnen terugtrekken.</t>
  </si>
  <si>
    <t>Intuïtieve 'leesbare' ruimten</t>
  </si>
  <si>
    <t>Het beoogde gebruik van een ruimte moet eenvoudig te begrijpen zijn. Leerlingen moeten intuïtief aanvoelen waarvoor een ruimte bedoeld is (bijv. een stilteruimte versus een ruimte voor sociale interactie). Denk aan gebruik kleuren, pictogrammen en inrichtingselementen.</t>
  </si>
  <si>
    <t>Natuurlijke elementen</t>
  </si>
  <si>
    <t>Het ontwerp moet natuurlijke elementen integreren om welzijn en concentratie te bevorderen. Dit omvat (uit)zicht op groen, daglichttoetreding, beplanting binnen en buiten het gebouw en het gebruik van natuurlijke materialen.</t>
  </si>
  <si>
    <t>Zichtlijnen</t>
  </si>
  <si>
    <t>In verblijfsruimten moeten er een visuele verbinding met buiten zijn. Er moet uitzicht zijn voor ieder type gebruiker (groot of klein, zittend, staand, liggend op een bed). Het gebouw moet voorzien worden van meerdere doorkijkjes op kijkhoogte van specifieke gebruikersgroep</t>
  </si>
  <si>
    <t>Menselijke maat</t>
  </si>
  <si>
    <t>Het gebouw moet een menselijke maat hebben en gebruikers een gevoel van geborgenheid geven. Denk aan opdelen van open ruimten in kleinere, herkenbare zones, en het creëren van plekken met besloten karakter waar leerlingen zich veilig en comfortabel voelen.</t>
  </si>
  <si>
    <t>Een gezonde school</t>
  </si>
  <si>
    <t>Geluid</t>
  </si>
  <si>
    <t>Klasse B (Goed) conform PvE Frisse scholen.
Het akoestisch comfort in de onderwijsruimten is beter dan minimaal vereist conform Bbl. Spraak moet goed verstaanbaar zijn. Geluidsabsorberende materialen in plafonds en wanden moeten galm verminderen. Hinderlijk geluid van installaties, vanuit buiten, en van naastgelegen ruimten moet gedempt worden zodat leerlingen en docenten zich goed kunnen concentreren.
Bij renovatie kan het zijn dat klasse B niet realiseerbaar is voor wat betreft eisen aan lucht- en contactgeluidsisolatie omdat aanpassingen aan bestaande vloeren en wanden te kostbaar zijn. In dat geval volstaat Klasse C (Voldoende).</t>
  </si>
  <si>
    <t>Klasse A, B of C</t>
  </si>
  <si>
    <t>Absoltuut getal in €</t>
  </si>
  <si>
    <t>Temperatuur</t>
  </si>
  <si>
    <t>Klasse B (Goed) conform PvE Frisse scholen.
Het thermisch comfort in de onderwijsruimten moet beter zijn dan minimaal vereist conform Bbl. Grote temperatuurwisselingen moeten beperkt worden door goede isolatie, effectieve zonwering en een efficiënte verwarmings- en koelstrategie. In de zomer moet het comfortabel blijven, met slechts incidentele uitschieters tijdens extreem warme dagen.</t>
  </si>
  <si>
    <t>Licht</t>
  </si>
  <si>
    <t>Klasse B (Goed) conform PvE Frisse scholen.
Het visueel comfort in de onderwijsruimten moet beter zijn dan minimaal vereist conform Bbl, met een goede balans tussen dag- en kunstlicht. Ramen moeten uitzicht en natuurlijke lichtinval bieden zonder verblinding. Kunstverlichting moet gelijkmatig verdeeld zijn. Hinderlijke contrasten, flikkeringen, en reflecties moeten beperkt worden (zie ook REQ-63).
Bij renovatie kan het zijn dat klasse B niet realiseerbaar is voor wat betreft eisen aan daglichttoetreding omdat aanpassingen aan de gevel kostbaar zijn en/of conflicteren met de ambitie om een energieneutraal gebouw te realiseren. In dat geval volstaat klasse C (Voldoende).
Aandachtspunt vanuit NEN 9120 is dat er aandacht besteed aan overgangen van lichte naar donkere ruimten. Plotselinge veranderingen in de verlichtingssterkte, met name bij entrees/toegangen, moeten worden vermeden.</t>
  </si>
  <si>
    <t>Lucht</t>
  </si>
  <si>
    <t>Klasse B (Goed) conform PvE Frisse scholen.
De luchtkwaliteit in de onderwijsruimten moet beter zijn dan minimaal vereist conform Bbl. Regelbare mechanische en natuurlijke ventilatie moeten zorgen voor de aanvoer van frisse lucht en de afvoer van vervuilde lucht. Verontreinigingen en CO₂-concentraties moeten beperkt blijven, ook bij intensief gebruik van klaslokalen.
Zie ook REQ-108 voor eisen met betrekking luchtkwaliteit en materiaalgebruik.</t>
  </si>
  <si>
    <t>Kwaliteitsborging</t>
  </si>
  <si>
    <t>Klasse B (Goed) conform PvE Frisse scholen.
Er wordt een oplevertoets uitgevoerd zodat kan worden vastgesteld of de gestelde binnenklimaateisen daadwerkelijk behaald worden. Zie hiervoor de Frisse scholen Toets voor de onderdelen lucht-temperatuur-licht-geluid. 
Bij oplevering wordt mondeling en schriftelijk een instructie gegeven over het juiste gebruik van de beïnvloedingsmogelijkheden en voorzieningen.</t>
  </si>
  <si>
    <t>Comfort niet-onderwijsruimten</t>
  </si>
  <si>
    <t>Bovenstaande uitgangspunten gelden voor de onderwijsruimten in het gebouw. Vanuit het oogpunt van flexibiliteit is voor de kantoor(achtige) ruimten uitgegaan van een gelijk comfortniveau. Voor de overige ruimten zijn specifieke eisen geformuleerd.</t>
  </si>
  <si>
    <t>Stimuleren beweging</t>
  </si>
  <si>
    <t>Ruimten bewegingsonderwijs</t>
  </si>
  <si>
    <t>Er moet voldoende ruimte beschikbaar zijn voor bewegingsonderwijs, passend bij de leeftijdsgroepen en het onderwijsconcept. Dat kan gaan om een gymzaal (indien niet in nabijheid beschikbaar) of een multifunctionele speelruimte die geschikt is voor lessen lichamelijke opvoeding.</t>
  </si>
  <si>
    <t>Beweging door gebouw</t>
  </si>
  <si>
    <t>Het gebouwontwerp moet uitnodigen tot beweging en tegelijkertijd een veilige en toegankelijke verkeersstroom ondersteunen. Aandachtspunten zijn aantrekkelijke en goed zichtbare trappen die trapgebruik stimuleren en brede gangen zonder obstakels die vrije en veilige doorstroming mogelijk maken.</t>
  </si>
  <si>
    <t>Beweging op leer/werkplek</t>
  </si>
  <si>
    <t>De inrichting moet een dynamische leer- en werkomgeving ondersteunen, zodat leerlingen op naar behoefte van plek of houding kunnen wisselen. Aandachtspunten zijn in hoogte verstelbare tafels en stoelen (voor zover onderdeel scope) en flexibele zithoeken die actief zitten en staand werken mogelijk maken.</t>
  </si>
  <si>
    <t>Beweging in buitenruimtes</t>
  </si>
  <si>
    <t>De buitenruimte moet aantrekkelijk en functioneel worden ingericht om leerlingen te stimuleren om te bewegen en actief te spelen. Denk aan diverse speel- en sportvoorzieningen, uitdagende speelaanleidingen en gevarieerde ondergronden die uitnodigen tot rennen, springen en balspelen.</t>
  </si>
  <si>
    <t>Een duurzame school</t>
  </si>
  <si>
    <t>Energiegebruik</t>
  </si>
  <si>
    <t>Energiezuinig gebouwontwerp</t>
  </si>
  <si>
    <t>Bouwkundige maatregelen moeten de energievraag maximaal beperken volgens de Trias Energetica. Aandachtspunten zijn een slimme oriëntatie van ruimtes ten opzichte van de zon, gebruik van daglicht, hoogwaardige isolatie, luchtdichtheid van gevels en het gebruik van natuurlijke ventilatie en thermische massa om behoefte aan actieve koeling te minimaliseren.</t>
  </si>
  <si>
    <t>Energiezuinigheid installaties</t>
  </si>
  <si>
    <t>Nieuwe installaties moeten energiezuinig zijn en bijdragen aan het beperken van de warmtevraag en de koellast. Dit betekent o.a. efficiënte verwarmings- en ventilatiesystemen (conform NEN-EN 16798), warmteterugwinning, vraaggestuurde regelingen, en energiezuinige verlichting. 
Keuzes voor de verwarmingsinstallatie moeten aansluiten bij de (toekomstige) warmtevisie van de wijk om desinvesteringen te voorkomen</t>
  </si>
  <si>
    <t>Gebruik hernieuwbare energie</t>
  </si>
  <si>
    <t>De energievraag moet ingevuld kunnen worden door gebruik hernieuwbare energiebronnen. Aandachtspunten zijn inzet van zonnecellen, warmtepompen en lage temperatuurverwarming (LTV) in combinatie met bodem-, water- of luchtwarmte.</t>
  </si>
  <si>
    <t>Energiemonitoring</t>
  </si>
  <si>
    <t>Het gebouw moet voorzien worden van een gebouwautomatiserings- en controlesysteem (GACS) om de prestatie en het energiegebruik van de technische installaties te monitoren, aan te sturen en te optimaliseren, conform NEN-EN-ISO 52120.
Zie ook DP-31.</t>
  </si>
  <si>
    <t>Regeltechniek</t>
  </si>
  <si>
    <t>De centrale warmteopwekking en andere installaties moeten zodanig in te regelen zijn dat er geen sprake is van onnodig energieverbruik. Door middel van bijv. kloktijden, overwerktimers en een weekend- en vakantieprogramma moet het mogelijk zijn de werking van installaties af te stemmen op de bezetting en het gebruik van het gebouw.</t>
  </si>
  <si>
    <t>Klasse C (Voldoende): er moet een oplevertoets worden uitgevoerd waarbij gecontroleerd wordt dat de energiebesparende maatregelen daadwerkelijk zijn uitgevoerd.</t>
  </si>
  <si>
    <t>Energielabel</t>
  </si>
  <si>
    <t>A+++++</t>
  </si>
  <si>
    <t>Primair fossiel energiegebruik</t>
  </si>
  <si>
    <t>0</t>
  </si>
  <si>
    <t>kWh/m2/jaar</t>
  </si>
  <si>
    <t>Aandeel hernieuwbaar</t>
  </si>
  <si>
    <t>100</t>
  </si>
  <si>
    <t>Aandeel aardgas</t>
  </si>
  <si>
    <t>Werkelijke Energie intensiteit indicator (WEii)</t>
  </si>
  <si>
    <t>Onderwerp van de innovatie</t>
  </si>
  <si>
    <t>Passiefbouw (leerlab 1)</t>
  </si>
  <si>
    <t xml:space="preserve">Meten hoveelheid zonbelaste geveloppervlak. Hoe hoger dit opvlak hoe lager de score </t>
  </si>
  <si>
    <t>Scope van de innovatie</t>
  </si>
  <si>
    <t>Een geheel bouwdeel of element; de keuze hierin is productafhankelijk.</t>
  </si>
  <si>
    <t>Ontwikkelstadium (TRL)</t>
  </si>
  <si>
    <t>Min. TRL 5 (validatie prototype), max. TRL 7 (prototype in operationele omgeving)</t>
  </si>
  <si>
    <t>Materiaalgebruik</t>
  </si>
  <si>
    <t>Behoud en hergebruik</t>
  </si>
  <si>
    <t>Materialen van het bestaande gebouw moeten zoveel mogelijk behouden of binnen het project hergebruikt worden. Dit beperkt het gebruik van nieuwe materiaal en de noodzaak om verwijderd materiaal af te voeren en te verwerken.</t>
  </si>
  <si>
    <t>CO~2~-uitstoot</t>
  </si>
  <si>
    <t>Nieuwe toe te passen materialen moeten een zo laag mogelijke materiaalgebonden CO~2~-uitstoot hebben, met name wat betreft emissies die gepaard gaan met de extractie, de verwerking, het transport van het materiaal.</t>
  </si>
  <si>
    <t>Biobased</t>
  </si>
  <si>
    <t>Daar waar mogelijk moet er gebruik gemaakt worden van biobased materialen. Denk aan hout voor constructiedelen en vezelgewassen bij (na)isolatie, daarbij rekening houdend met de vochthuishouding in het gebouw.</t>
  </si>
  <si>
    <t>Losmaakbaarheid</t>
  </si>
  <si>
    <t>Nieuw toegepaste bouwmaterialen moeten zoveel mogelijk 'losmaakbaar' zijn zodat deze aan het einde van de levensduur van het gebouw eenvoudig gedemonteerd en hergebruikt kunnen worden.</t>
  </si>
  <si>
    <t>Gezondheid</t>
  </si>
  <si>
    <t>Toegepaste materialen mogen geen gezondheidsrisico's voor gebruikers met zich mee brengen. Er moet gebruik gemaakt worden van materialen zonder toxische stoffen of materialen waarbij het aandeel toxische stoffen schadelijke grenswaarden niet overschrijdt.
Conform PvE Frisse scholen klasse B is de formaldehydeconcentratie in de lucht max. 30 microgram/m³, de TVOC -concentratie max. 200 microgram/m^3^ en worden er geen schadelijke weekmakers/ftalaten (zoals DEHP, DBP en BBP) toegepast.</t>
  </si>
  <si>
    <t>Certificering</t>
  </si>
  <si>
    <t>De herkomst en duurzame eigenschappen van materialen moet onderbouwd kunnen worden, bij voorkeur aan de hand van certificaten (bijv. Cradle2Cradle, Natureplus, Declare-certificering). Materialen waarbij de controle niet goed mogelijk is, moeten vermeden worden.</t>
  </si>
  <si>
    <t>Documentatie</t>
  </si>
  <si>
    <t>De opdrachtnemer draagt zorg voor het registreren en vastleggen van alle materialen die in het gebouw worden tijdens ontwerp en realisatie toegevoegd in een materialenpaspoort.</t>
  </si>
  <si>
    <t>Materiaalgebonden CO~2~-uitstoot</t>
  </si>
  <si>
    <t>kg CO2-eq / m2BVO/jaar</t>
  </si>
  <si>
    <t>Aandeel biobased, hergebruikt en/of gerecycled materiaal</t>
  </si>
  <si>
    <t>Aandeel biobased hergebruikt of gerecycled 15% 25% of 35%</t>
  </si>
  <si>
    <t>LI 30% 40% of 50%</t>
  </si>
  <si>
    <t>Waterverbruik</t>
  </si>
  <si>
    <t>Verbruiksefficiëntie</t>
  </si>
  <si>
    <t>Waterverbruikende voorzieningen moeten waterbesparend zijn zonder verlies van functionaliteit en comfort. Aandachtspunten zijn waterbesparende kranen in keukens en sanitaire ruimtes, efficiënte douches, wc’s, en zuinige (af)wasmachines. Ook schoonmaakinstallaties moeten efficiënt omgaan met waterverbruik.</t>
  </si>
  <si>
    <t>Monitoring</t>
  </si>
  <si>
    <t>Het moet mogelijk zijn om het waterverbruik te monitoren. Er zijn (sub)watermeters op de hoofdaansluiting en op alle voorzieningen/ruimten met een significant waterverbruik (≥ 10% totaal). Het verbruik moet per gebruikersgroep afleesbaar zijn in een monitorings- of gebouwbeheersysteem.</t>
  </si>
  <si>
    <t xml:space="preserve">Wel of geen subbemetering </t>
  </si>
  <si>
    <t>Afvoer vuil water</t>
  </si>
  <si>
    <t>In de ontwerpfase moet onderzocht worden of het haalbaar is om een hergebruiksysteem te realiseren waarbij afvalwater (afkomstig van bijv. wastafels, douches, wasmachines) herbruikt wordt voor niet-drinkwater toepassingen zoals doorspoelen toiletten of irrigatie.</t>
  </si>
  <si>
    <t>Wel of geen Afvalwater hergebruiksysteem</t>
  </si>
  <si>
    <t>Afvoer hemelwater</t>
  </si>
  <si>
    <t>In de ontwerpfase moet onderzocht worden of het haalbaar is om een hergebruiksysteem (waarbij hemelwater wordt opgevangen, opgeslagen en indien nodig behandeld) en/of opvangsysteem (waarbij hemelwater wordt opgevangen in de grond of in tanks) te realiseren.</t>
  </si>
  <si>
    <t>Wel of of geen grijswatersysteem</t>
  </si>
  <si>
    <t>Afvalbeheer</t>
  </si>
  <si>
    <t>Inventarisatie bouwafval</t>
  </si>
  <si>
    <t>In geval van sloopwerkzaamheden moet een inventarisatie worden uitgevoerd om te bepalen welke materialen en producten hergebruikt, getransformeerd of gerecycled kunnen worden. Denk aan de terugwinning van bouwmaterialen zoals deuren, kozijnen, plafondpanelen en installaties. Bouwafval wordt zoveel mogelijk beperkt.</t>
  </si>
  <si>
    <t>Scheiden bouwafval</t>
  </si>
  <si>
    <t>Bouw- en sloopafval moet op de bouwplaats gescheiden worden ingezameld om hergebruik en recycling te maximaliseren. Aandachtspunten zijn aparte containers voor verschillende materialen, en samenwerking met afvalverwerkers die circulaire verwerking ondersteunen.</t>
  </si>
  <si>
    <t>Afval tijdens gebruiksfase</t>
  </si>
  <si>
    <t>Het gebouw moet beschikken over adequate voorzieningen voor afvalscheiding en opslag, afgestemd op de afvalstromen van gebruikers. Aandachtspunten zijn strategisch geplaatste inzamelpunten voor papier, plastic, GFT en restafval, en een efficiënte logistiek voor opslag en afvoer door de afvaldienst.</t>
  </si>
  <si>
    <t>Natuurinclusiviteit</t>
  </si>
  <si>
    <t>Onderzoek</t>
  </si>
  <si>
    <t>Maatregelen ten aanzien van natuurinclusief bouwen moeten vastgesteld worden op basis van een flora- en fauna-inventarisatie. Deze inventarisatie moet uitgevoerd worden door een professionele ecoloog. In de inventarisatie moeten de ecologische waarden van de locatie beschreven worden op basis van bureau- en veldonderzoek.</t>
  </si>
  <si>
    <t>Natuurvoorzieningen gebouw</t>
  </si>
  <si>
    <t>Waar mogelijk dienen bouwkundige wijzigingen bij te dragen aan de versterking van het lokale ecosysteem. Denk aan de toepassing van een bruin of groen dak en kleinschaligere maatregelen, zoals gevelbeplanting en nestruimte voor dieren.</t>
  </si>
  <si>
    <t>Wel of geen groendak</t>
  </si>
  <si>
    <t>Natuurvoorzieningen buitenruimte</t>
  </si>
  <si>
    <t>Waar mogelijk dient de inrichting van de buitenruimte bij te dragen aan de versterking van het lokale ecosysteem. Denk aan gebruik inheemse plantsoorten, realisatie natuurspeelplaats en functies die kunnen bijdragen aan opvang van water (bijv. wadi, vijver).</t>
  </si>
  <si>
    <t>Klimaatadaptatie</t>
  </si>
  <si>
    <t>Bestendigheid tegen hitte</t>
  </si>
  <si>
    <t>Opwarming van het gebouw en uitstraling van warmte naar de omgeving moet worden tegengegaan. Aandachtspunten zijn toepassing van warmtewerende of verkoelende materialen, het creëren van schaduw, en de toepassing van verticaal en horizontaal groen. Eventuele beplanting bestaat uit soorten die bestendig zijn tegen warme omstandigheden.</t>
  </si>
  <si>
    <t>Bestendigheid tegen extreme neerslag</t>
  </si>
  <si>
    <t>Extreme neerslag wordt door het gebouw weerstaan zonder beschadigd te raken of minder goed te presteren. Gebouw en terrein zijn zodanig ontworpen dat neerslag op locatie wordt opgevangen en vertraagd wordt afgevoerd.</t>
  </si>
  <si>
    <t>Wel of geen waterretentie systeem</t>
  </si>
  <si>
    <t>Bestendigheid tegen droogte</t>
  </si>
  <si>
    <t>Droogte wordt door het gebouw weerstaan zonder beschadigd te raken (denk aan evt. lagere grondwaterstand). Eventuele beplanting bestaat uit soorten die bestendig zijn tegen droge omstandigheden. Het gebouw zelf zorgt voor reductie waterverbruik (zie eisen met betrekking tot waterverbruik bij DP-17)</t>
  </si>
  <si>
    <t>Bestendigheid tegen overstromingen</t>
  </si>
  <si>
    <t>In geval van een overstroming (stijging van 0,2 meter of minder) mag er geen schade optreden aan de gebouwstructuur en de elektrische installaties. Aandachtspunten zijn waterrobuuste vloer, waterrobuuste inrichting, hoogte stopcontacten, en verdeling van functies over verdiepingen.</t>
  </si>
  <si>
    <t>Adaptiviteit plattegrond</t>
  </si>
  <si>
    <t>Ruimtescheidingen</t>
  </si>
  <si>
    <t>Binnenwanden moeten zonder ingrijpende/kostbare ingrepen verplaatsbaar zijn. Dragende wanden moeten zo veel mogelijk voorkomen worden.</t>
  </si>
  <si>
    <t>Stramienmaat</t>
  </si>
  <si>
    <t>Het gevelontwerp, de constructie en de installaties moeten op één, fijnmazig stramien uitgelegd worden dat maximale mogelijkheden biedt voor het later kunnen aanpassen van de plattegrond ten behoeve van veranderende onderwijsprocessen of zelfs, op lange termijn, het transformeren van het gebouw tot een andere functie.</t>
  </si>
  <si>
    <t xml:space="preserve">Beoordeling op maakbaarheid Bouwsystemen. Hoe meer bouwsystemen toepasbaar zijn hoe hoger de score </t>
  </si>
  <si>
    <t>Positionering vaste delen</t>
  </si>
  <si>
    <t>De structuur van het gebouw moet zodanig ontworpen zijn dat moeilijk of niet te verwijderen obstakels (bijv. kolommen, dragende wanden, trappenhuizen, schachten) geen belemmering vormen voor aanpassingen in in de indeling van het gebouw.</t>
  </si>
  <si>
    <t>Installatieontwerp</t>
  </si>
  <si>
    <t>De installatie-infrastructuur moet zodanig zijn opgezet, dat de mogelijke indelingsvarianten kunnen worden gerealiseerd zonder aanpassing van de hoofdstructuur en centrale vermogens van de installatie.</t>
  </si>
  <si>
    <t>Adaptiviteit ruimten</t>
  </si>
  <si>
    <t>Effectief ruimtegebruik</t>
  </si>
  <si>
    <t>Verkeersruimten en andere secundaire ruimtes moeten zodanig ontworpen worden dat ze ook functioneel gebruikt kunnen worden, resulterend in een zo goed mogelijke verhouding tussen het bruto en functionele oppervlak. Denk aan brede gangen die ruimte bieden aan studieplekken, of een centrale trap die ook dienst kan doen als tribune of pauzeplek.
Aandachtspunt: zodra ondersteunende ruimten (bijv. gang) gebruikt kunnen worden als verblijfsruimten (bijv. leerplek) dan zal dit extra eisen met zich meebrengen (bijv. daglichteisen).</t>
  </si>
  <si>
    <t xml:space="preserve">Meten van Bruto netto verhouding. Hoe lager deze verghouding hoe beter de score </t>
  </si>
  <si>
    <t>Gecombineerd ruimtegebruik</t>
  </si>
  <si>
    <t>Ruimten moeten zodanig worden ontworpen dat ze goed te combineren en/of uitwisselbaar zijn. Dit betekent dat indien een ruimte onderdeel uitmaakt van een andere ruimte de strengste eisen van de meest kritische ruimte gelden. Denk aan binnenklimaateisen voor een (open) garderobe of pantry binnen een personeelsruimte.</t>
  </si>
  <si>
    <t>Flexibiliteit inrichting</t>
  </si>
  <si>
    <t>De inrichting van onderwijsruimtes moet eenvoudig aanpasbaar zijn om wijzigingen in leerstijlen en groepsgroottes te kunnen faciliteren. Denk aan inrichtingselementen die verplaatsbaar, stapelbaar of modulair zijn, en de mogelijkheid om een ruimte in te delen in verschillende zones (bijv. voor instructie, zelfstandig werken en samenwerken).</t>
  </si>
  <si>
    <t>Flexibiliteit voorzieningen</t>
  </si>
  <si>
    <t>Een of meerdere centrale/gedeelde ruimtes (bijv. centrale hal of gymzaal) moeten beschikken over instelbare voorzieningen voor verlichting, akoestiek en klimaatbeheersing, afgestemd op verschillende gebruiksscenario’s. Denk aan grote ruimtes die zowel voor gymnastiek en theater gebruikt kunnen worden.</t>
  </si>
  <si>
    <t>Adaptiviteit techniek</t>
  </si>
  <si>
    <t>Demonteerbaarheid</t>
  </si>
  <si>
    <t>Installatieonderdelen moeten eenvoudig bereikbaar en te demonteren zijn, zodat onderhoud, vervanging en uitbreiding zonder ingrijpende bouwkundige aanpassingen mogelijk is.</t>
  </si>
  <si>
    <t>Modulariteit</t>
  </si>
  <si>
    <t>Elektriciteits- en ICT-voorzieningen moeten modulair uit te breiden en aan te passen zijn, zodat toekomstige veranderingen in onderwijsvormen eenvoudig kunnen worden ondersteund. Aandachtspunten zijn flexibele kabelsystemen, uitbreidbare capaciteit en slimme aansluitpunten die zonder hak- en breekwerk kunnen worden verplaatst.</t>
  </si>
  <si>
    <t>Reservecapaciteit</t>
  </si>
  <si>
    <t>Een veilige school</t>
  </si>
  <si>
    <t>Gebruiksveiligheid</t>
  </si>
  <si>
    <t>Fysieke veiligheid</t>
  </si>
  <si>
    <t>Het gebouw en terrein moeten zodanig ontworpen worden dat ernstige gebruiksrisico’s (schade door vallen, struikelen, botsen) beperkt worden, maar er moeten ook mogelijkheden zijn voor uitdagend en risicovol spelen, passend bij de leeftijd van de leerlingen. Centraal idee is dat leerlingen motorische en sociale vaardigheden kunnen ontwikkelen binnen een veilige, maar niet volledig risicoloze omgeving.</t>
  </si>
  <si>
    <t>Sociale veiligheid</t>
  </si>
  <si>
    <t>Het gebouw en de buitenruimtes zijn zodanig ontworpen dat medewerkers goed toezicht kunnen houden op alle leerlingen en activiteiten. Toezicht moet zowel binnen een ruimte als vanuit buiten de ruimte (bijv. vanaf de gang) mogelijk zijn. Denk aan ruimtes zonder hoeken of obstakels en het gebruik van glasstroken of zijlichten in deuren en wanden.</t>
  </si>
  <si>
    <t>Psychologische veiligheid</t>
  </si>
  <si>
    <t>Het ontwerp biedt herkenbare en comfortabele plekken waar leerlingen en medewerkers zich veilig en op hun gemak kunnen voelen. Denk aan rustige plekken voor concentratie en ontspanning, gemeenschappelijke ruimtes die samenwerking en sociale interactie stimuleren, en een warme, uitnodigende sfeer door middel van licht en materiaalgebruik.</t>
  </si>
  <si>
    <t>Brandveiligheid</t>
  </si>
  <si>
    <t>Brandveiligheidseisen uit het Bbl, eisen van de brandweer en de gemeente, en eventuele eisen van de verzekeraar van het gebouw.</t>
  </si>
  <si>
    <t>Compartimentering</t>
  </si>
  <si>
    <t>De brandcompartimentering van het gebouw is afgestemd op de functionele indeling van het gebouw.</t>
  </si>
  <si>
    <t>Plan brandveiligheid</t>
  </si>
  <si>
    <t>De opdrachtnemer voorziet in uitgangspuntendocument, opgesteld door een door het CCV erkende organisatie. Het plan dient gedurende het project geactualiseerd te worden en gebruikt te worden als toetsingskader.</t>
  </si>
  <si>
    <t>Opdrachtnemer voorziet in een brandveiligheidslogboek dat aantoont dat de brandveiligheidsvoorzieningen voldoen aan wet- en regelgeving. Denk o.a. aan fotodocumentatie doorvoeringen, plattegrondtekening(en) met brand- en rookscheidingen, en testcertificaten en productcertificaten van de voorzieningen.</t>
  </si>
  <si>
    <t>Beveiliging tegen inbraak</t>
  </si>
  <si>
    <t>Zonering</t>
  </si>
  <si>
    <t>Het gebouw moet zodanig indeelbaar zijn dat er onderscheid is te maken in de toegankelijkheid en beveiliging van verschillende gebouwdelen voor gebruikers. Aandachtspunten zijn (semi)publieke ruimten zoals de entree en een eventuele centrale hal versus ruimten die alleen voor leerlingen en leerkrachten of administratief personeel bedoeld zijn.</t>
  </si>
  <si>
    <t>Bouwkundige maatregelen</t>
  </si>
  <si>
    <t>Het bouwkundig ontwerp van de buitenschil moet inbraak en indringing vertragen en belemmeren. Aandachtspunten zijn de weerstandsklasses van ramen en deuren, de beveiliging van eventuele dakopeningen, de inbraakwerendheid van het hang- en sluitwerk, en de opklimbaarheid van het gebouw.</t>
  </si>
  <si>
    <t xml:space="preserve">Wel of geen Extra beveiligingsmaatregelen </t>
  </si>
  <si>
    <t>Technische maatregelen</t>
  </si>
  <si>
    <t>Beveiligingsinstallaties moeten zorgen voor gecontroleerde toegang en detectie/alarmering in geval van een incident of indringing. Aandachtspunten zijn voorzieningen voor inbraakdetectie, bewegingsmelders, toegangscontrolevoorzieningen, en plaatsing van camera’s op strategische plaatsen, zoals ingangen en gangen.</t>
  </si>
  <si>
    <t>Wel of geen toegangscontrolesysteem</t>
  </si>
  <si>
    <t>Sluitplan</t>
  </si>
  <si>
    <t>In overleg met de gebruikers moet er een sluitplan worden opgesteld dat specificeert hoe de toegang tot ruimtes, het gebouw als geheel, en gebouwdelen georganiseerd is.</t>
  </si>
  <si>
    <t>Bestendigheid tegen vandalisme</t>
  </si>
  <si>
    <t>Controle/overzicht</t>
  </si>
  <si>
    <t>Overzicht Doelen en uitgangspunten.xlsx</t>
  </si>
  <si>
    <t>Vandaalbestendigheid buiten</t>
  </si>
  <si>
    <t>Alle bereikbare onderdelen van het gebouw en de buitenruimte moeten bestand zijn tegen intensief gebruik en opzettelijke beschadiging (bv. graffiti). Denk aan slag- en krasvaste afwerkingen en armaturen, en eenvoudig te reinigen oppervlakken. Waar gewenst vindt extra toezicht plaats met camera's.</t>
  </si>
  <si>
    <t>Wel of geen camerasysteem</t>
  </si>
  <si>
    <t>Vandaalbestendigheid binnen</t>
  </si>
  <si>
    <t>Binnenruimtes moeten bestand zijn tegen intensief gebruik en mogelijke vandalismegevoelige situaties, zonder afbreuk te doen aan het comfort en de uitstraling van de leeromgeving. Denk aan slagvaste wandafwerkingen, stootbestendige deuren, en robuuste sanitaire voorzieningen.</t>
  </si>
  <si>
    <t>Wel of geen extra vandaalbestendigheidsmaatregelen</t>
  </si>
  <si>
    <t>Een digitale school</t>
  </si>
  <si>
    <t>Slimme onderwijsruimten</t>
  </si>
  <si>
    <t>Netwerk</t>
  </si>
  <si>
    <t>Alle potentiële leer- en werkplekken moeten beschikken over een betrouwbaar, veilig en snel netwerk, zowel draadloos en bekabeld, zonder dode zones of capaciteitsproblemen. Het netwerk moet schaalbaar zijn om toekomstige groei en nieuwe technologieën te ondersteunen.</t>
  </si>
  <si>
    <t>Aansluitingen</t>
  </si>
  <si>
    <t>Alle potentiële leer- en werkplekken moeten voorzien zijn van voldoende en goed bereikbare aansluitpunten zijn voor stroom- en data. Aansluitingen moeten eenvoudig bereikbaar zijn voor gebruikers en aan te passen zijn aan veranderende onderwijsbehoeften of technologieën.</t>
  </si>
  <si>
    <t>Voorzieningen</t>
  </si>
  <si>
    <t>Onderwijsruimten moeten de mogelijkheid bieden om digitale voorzieningen te bevestigen (bijv. schermen, interactieve whiteboards, audio-oplossingen) en deze op een gebruiksvriendelijke manier in te zetten (denk aan zichtlijnen, voorkomen reflectie/schittering, eenvoudig bereikbare bedieningselementen, voorkomen losliggende bekabeling).</t>
  </si>
  <si>
    <t>Integratie</t>
  </si>
  <si>
    <t>Gebouwinstallaties, zoals verlichting, verwarming, ventilatie en zonwering, moeten waar mogelijk worden geïntegreerd in één centraal beheersysteem waarmee het mogelijk is om installaties centraal en op afstand te besturen.
Installaties voor communicatie, beveiliging en gebouwbeheer zijn integraal ontworpen en op elkaar afgestemd (IP-protocol).</t>
  </si>
  <si>
    <t>Wel of geen Slim gebouw</t>
  </si>
  <si>
    <t>Gebruiksvriendelijkheid</t>
  </si>
  <si>
    <t>Het beheersysteem moet intuïtief en gebruiksvriendelijk zijn zodat gebouwbeheerders en conciërges het eenvoudig kunnen bedienen met beperkte instructie.</t>
  </si>
  <si>
    <t>Betrouwbaarheid/veiligheid</t>
  </si>
  <si>
    <t>Het systeem moet stabiel en betrouwbaar functioneren en beveiligd zijn tegen ongeautoriseerde toegang. Denk aan beveiligde toegang met autorisatieniveaus en bescherming tegen cyberdreigingen om continuïteit en dataveiligheid te waarborgen.</t>
  </si>
  <si>
    <t>Een onderhoudsvriendelijke school</t>
  </si>
  <si>
    <t>Onderhoud en beheer</t>
  </si>
  <si>
    <t>Onderhoudbaarheid</t>
  </si>
  <si>
    <t>Het gebouw moet onderhoudsarm zijn. Materialen die intensief, frequent en kostbaar onderhoud vergen, mogen niet worden toegepast. Dagelijks, klein onderhoud moet na enige instructie door een eigen technisch medewerker kunnen worden uitgevoerd.</t>
  </si>
  <si>
    <t>Total cost of ownership</t>
  </si>
  <si>
    <t>Bij de keuze van materialen en installaties moet geredeneerd worden vanuit 'total cost of ownership': niet alleen kijkend naar de aanschafkosten, maar ook naar kosten voor gebruik en beheer (o.a. schoonmaak, onderhoud, aanpassingen, energie).</t>
  </si>
  <si>
    <t>Absoltuut getal</t>
  </si>
  <si>
    <t xml:space="preserve">Doorlopend </t>
  </si>
  <si>
    <t>Vervangbaarheid onderdelen</t>
  </si>
  <si>
    <t>Bouwdelen, afwerkingen en installatie-onderdelen moeten eenvoudig te verkrijgen en te vervangen zijn.</t>
  </si>
  <si>
    <t>Garanties</t>
  </si>
  <si>
    <t>Voor toegepaste materialen en installaties (incl. bijbehorende software) geldt bij normaal gebruik een leverings- en kwaliteitsgarantie van 10 jaar.</t>
  </si>
  <si>
    <t>Bereikbaarheid onderdelen</t>
  </si>
  <si>
    <t>Onderhoud- en inspectieactiviteiten moeten veilig en eenvoudig kunnen plaatsvinden. Gebouw- en installatieonderdelen die periodiek onderhoud vereisen, moeten goed bereikbaar (denk aan inspectieluiken en servicetoegangen) en adequaat verlicht zijn.</t>
  </si>
  <si>
    <t>Robuustheid onderdelen</t>
  </si>
  <si>
    <t>Materiaalkeuzes moeten afgestemd zijn op intensief en hoogfrequent gebruik. Gebouw/installatie-onderdelen met een verhoogd risico op beschadigingen door gebruik, vocht of corrosie dienen te worden beschermd door geschikte materialen en/of beschermende maatregelen.  Kozijnen, deuren, hang- en sluitwerk moeten zwaar uitgevoerd zijn.</t>
  </si>
  <si>
    <t>Storingsgevoeligheid</t>
  </si>
  <si>
    <t>Het risico op storingen in installaties (klimaatinstallaties, lift, energie) moet beperkt zijn. Eventuele storingen moeten vroegtijdig, centraal gesignaleerd worden. Voor gebruikers moet duidelijk zijn hoe er gehandeld moet worden in storingssituaties.</t>
  </si>
  <si>
    <t>Reinigbaarheid</t>
  </si>
  <si>
    <t>Het gebouw moet zowel van buiten als binnen eenvoudig schoon te houden zijn. Afwerkingen dienen zo min mogelijk kwetsbaar te zijn voor vervuiling en graffiti. Slimme detaillering moet opeenhoping van stof/vuil voorkomen, en er moeten faciliteiten zijn voor schoonmaak (schoonmaakkasten, afvalpunten, aansluitingen voor schoonmaakapparatuur, voorzieningen voor glasbewassing).</t>
  </si>
  <si>
    <t>Intern/extern vervoer</t>
  </si>
  <si>
    <t>Verhuizingen en vervangen installatieonderdelen moeten via reguliere routes in het gebouw mogelijk zijn. Per bouwlaag moet een verhuisraam of dubbele deur aanwezig zijn.</t>
  </si>
  <si>
    <t>Inclusieve school</t>
  </si>
  <si>
    <t>Toeslag op inbouwpakket</t>
  </si>
  <si>
    <t xml:space="preserve">Gezonde school </t>
  </si>
  <si>
    <t>Toeslag op W-installaties, Dak, Gevel, Inbouw</t>
  </si>
  <si>
    <t>Duurzame school</t>
  </si>
  <si>
    <t>Toeslag op alles</t>
  </si>
  <si>
    <t>Veilige school</t>
  </si>
  <si>
    <t>Toeslag op terrein, gevel en inbouw</t>
  </si>
  <si>
    <t>Digitale school</t>
  </si>
  <si>
    <t>Toeslag op E-installaties</t>
  </si>
  <si>
    <t>Bouwlocatie</t>
  </si>
  <si>
    <t>Toeslag op AUK</t>
  </si>
  <si>
    <t>Fundatie</t>
  </si>
  <si>
    <t>Toeslag op fundering</t>
  </si>
  <si>
    <t>Aantal verdiepingen</t>
  </si>
  <si>
    <t>Toeslag</t>
  </si>
  <si>
    <t>Uitstraling (Architectuur) gevel</t>
  </si>
  <si>
    <t>Toeslag op gevel en constructie</t>
  </si>
  <si>
    <t>Uitstraling (Architectuur) binnen</t>
  </si>
  <si>
    <t>Toeslag op constructie en inbouw</t>
  </si>
  <si>
    <t>Exploitatieperiode</t>
  </si>
  <si>
    <t>Ja, maximaal</t>
  </si>
  <si>
    <t>Stad, goed bereikbaar</t>
  </si>
  <si>
    <t>Fundering op palen</t>
  </si>
  <si>
    <t>Sober en doelmatig</t>
  </si>
  <si>
    <t>Nee</t>
  </si>
  <si>
    <t>Ja, iets meer dan wettelijk vereist</t>
  </si>
  <si>
    <t>Stad, slecht bereikbaar</t>
  </si>
  <si>
    <t>Fundering op staal</t>
  </si>
  <si>
    <t>Gemiddeld</t>
  </si>
  <si>
    <t>Dorp</t>
  </si>
  <si>
    <t>Complexe omstandigheden</t>
  </si>
  <si>
    <t>Hoogwaardige architectuur</t>
  </si>
  <si>
    <t>Eilanden</t>
  </si>
  <si>
    <t>heeft impact op exploitatie?</t>
  </si>
  <si>
    <t>Ja/nee</t>
  </si>
  <si>
    <t>15% 25% of 35%</t>
  </si>
  <si>
    <t>30%, 40%, 50%</t>
  </si>
  <si>
    <t>gemiddeld circa 8,5% besparing</t>
  </si>
  <si>
    <t>gemiddeld circa 0,75 cent per jaar per BVO</t>
  </si>
  <si>
    <t>Scenarios obv Kwaliteitskader 2026</t>
  </si>
  <si>
    <t>PO Klein 1312m2</t>
  </si>
  <si>
    <t>PO Groot 2423m2</t>
  </si>
  <si>
    <t>NEN2699</t>
  </si>
  <si>
    <t>Basis</t>
  </si>
  <si>
    <t>TCO</t>
  </si>
  <si>
    <t>Bouwkundige werken</t>
  </si>
  <si>
    <t>Installatietechnische werken</t>
  </si>
  <si>
    <t>Vaste inrichting</t>
  </si>
  <si>
    <t>Terrein</t>
  </si>
  <si>
    <t>Indirecte bouwkosten</t>
  </si>
  <si>
    <t>Bouwkosten</t>
  </si>
  <si>
    <t>Bijkomende kosten</t>
  </si>
  <si>
    <t>Belasting</t>
  </si>
  <si>
    <t>Investeringskosten</t>
  </si>
  <si>
    <t>Toeslagen</t>
  </si>
  <si>
    <t>Energie neutraal</t>
  </si>
  <si>
    <t>Duurzaamheid</t>
  </si>
  <si>
    <t>Frisse scholen</t>
  </si>
  <si>
    <t>Exploitatie</t>
  </si>
  <si>
    <t>ICT</t>
  </si>
  <si>
    <t>Kwaliteit buitenruimte</t>
  </si>
  <si>
    <t>Overig</t>
  </si>
  <si>
    <t>Totaal aanvullend</t>
  </si>
  <si>
    <t>Exploitatie (40 jaar)</t>
  </si>
  <si>
    <t>Heffingen</t>
  </si>
  <si>
    <t>Verzekeringen</t>
  </si>
  <si>
    <t>Onderhoud</t>
  </si>
  <si>
    <t>Verbruik</t>
  </si>
  <si>
    <t>Beheerskosten</t>
  </si>
  <si>
    <t>Financieringskosten</t>
  </si>
  <si>
    <t>Schoonmaakkosten</t>
  </si>
  <si>
    <t>Totaal per m2 BVO/jaar</t>
  </si>
  <si>
    <t>scenario 1 = ik krijg alleen BVO</t>
  </si>
  <si>
    <t>Indien alleen de BVO bekend is zal scenario 1 de vormfactoren bepalen.</t>
  </si>
  <si>
    <t>Scenario 2 zal de vormfactoren, indien allen bekend, doorrekenen naar het TCO.</t>
  </si>
  <si>
    <t>Vormfactoren vlgs Cost Indicators</t>
  </si>
  <si>
    <t>Laag</t>
  </si>
  <si>
    <t>Top</t>
  </si>
  <si>
    <t>Hoog</t>
  </si>
  <si>
    <t>Perth</t>
  </si>
  <si>
    <t>resultaat waarmee gerekend wordt:</t>
  </si>
  <si>
    <t>Verdiepingshoogte</t>
  </si>
  <si>
    <t>BI / BVO (m¹)</t>
  </si>
  <si>
    <t>Aantal bouwlagen</t>
  </si>
  <si>
    <t>BVO / BBO (st)</t>
  </si>
  <si>
    <t>BBO / BTO</t>
  </si>
  <si>
    <t>Gevelfactor</t>
  </si>
  <si>
    <t>BGO / BVO</t>
  </si>
  <si>
    <t>OG / BGO</t>
  </si>
  <si>
    <t>Dakfactor</t>
  </si>
  <si>
    <t>BDO / BBO</t>
  </si>
  <si>
    <t>OD / BDO</t>
  </si>
  <si>
    <t>Binnenwandfactor</t>
  </si>
  <si>
    <t>BBWO / BVO</t>
  </si>
  <si>
    <t>OBW / BBWO</t>
  </si>
  <si>
    <t>Terreinoppervlak</t>
  </si>
  <si>
    <t>kavel / BVO</t>
  </si>
  <si>
    <t>Scenario 2:</t>
  </si>
  <si>
    <t xml:space="preserve">Afgeleide hoeveelheden in m2 </t>
  </si>
  <si>
    <t>M2 obv BVO factoren:</t>
  </si>
  <si>
    <t>Verkregen uit POM:</t>
  </si>
  <si>
    <t xml:space="preserve">BI </t>
  </si>
  <si>
    <t>BBO</t>
  </si>
  <si>
    <t>BGO</t>
  </si>
  <si>
    <t>OG</t>
  </si>
  <si>
    <t>BDO</t>
  </si>
  <si>
    <t>OD</t>
  </si>
  <si>
    <t>BBWO</t>
  </si>
  <si>
    <t>OBW</t>
  </si>
  <si>
    <t>BTO</t>
  </si>
  <si>
    <t>A</t>
  </si>
  <si>
    <t>Frisse scholen Engergie klasse A</t>
  </si>
  <si>
    <t>25%</t>
  </si>
  <si>
    <t>40%</t>
  </si>
  <si>
    <t>B</t>
  </si>
  <si>
    <t>Frisse scholen Engergie klasse B</t>
  </si>
  <si>
    <t>35%</t>
  </si>
  <si>
    <t>50%</t>
  </si>
  <si>
    <t>C</t>
  </si>
  <si>
    <t>Frisse scholen Engergie klasse C</t>
  </si>
  <si>
    <t>ENG</t>
  </si>
  <si>
    <t>0 op de meter</t>
  </si>
  <si>
    <t>Totaal</t>
  </si>
  <si>
    <t>PO-School</t>
  </si>
  <si>
    <t>Kinderopvang</t>
  </si>
  <si>
    <t>Functie 4</t>
  </si>
  <si>
    <t>Functie 5</t>
  </si>
  <si>
    <t>verhouding functies</t>
  </si>
  <si>
    <t>Pro rata obv PO Scholen</t>
  </si>
  <si>
    <t>Slopen</t>
  </si>
  <si>
    <t>€/m²  BVO</t>
  </si>
  <si>
    <t>Onderbouw</t>
  </si>
  <si>
    <t>€/m²  BBO</t>
  </si>
  <si>
    <t>Bovenbouw</t>
  </si>
  <si>
    <t>Gevel</t>
  </si>
  <si>
    <t>€/m²  BGO</t>
  </si>
  <si>
    <t>Gevel open (toeslag)</t>
  </si>
  <si>
    <t>€/m²  OG</t>
  </si>
  <si>
    <t>Dak</t>
  </si>
  <si>
    <t>€/m²  BDO</t>
  </si>
  <si>
    <t>Inbouw</t>
  </si>
  <si>
    <t>W-installaties</t>
  </si>
  <si>
    <t>E-installaties</t>
  </si>
  <si>
    <t>T-installaties</t>
  </si>
  <si>
    <t>€/m²  kavel</t>
  </si>
  <si>
    <t>Subtotaal (directe bouwkosten)</t>
  </si>
  <si>
    <t>AUK</t>
  </si>
  <si>
    <t>AK</t>
  </si>
  <si>
    <t>W&amp;R</t>
  </si>
  <si>
    <t>Totale bouwkosten</t>
  </si>
  <si>
    <t>Totale bouwkosten incl. BTW</t>
  </si>
  <si>
    <t>LOSSE TOESLAGEN (DIRECTE KOSTEN + AUK + AK + W&amp;R excl. BTW)</t>
  </si>
  <si>
    <t>Keuzes gebruiker:</t>
  </si>
  <si>
    <t>Optie:</t>
  </si>
  <si>
    <t>Impact op cluster:</t>
  </si>
  <si>
    <t>optie A</t>
  </si>
  <si>
    <t>optie B</t>
  </si>
  <si>
    <t>optie C</t>
  </si>
  <si>
    <t>optie D</t>
  </si>
  <si>
    <t>optie E</t>
  </si>
  <si>
    <t>optie F</t>
  </si>
  <si>
    <t>Factor Toeslag:</t>
  </si>
  <si>
    <t>Inbouw, Terrein, Gevel</t>
  </si>
  <si>
    <t>Inbouw, Gevel, Dak, E-installatie, W-installaties</t>
  </si>
  <si>
    <t>x</t>
  </si>
  <si>
    <t>Bovenbouw, Gevel, Dak, Inbouw</t>
  </si>
  <si>
    <t>Dak, W-installaties</t>
  </si>
  <si>
    <t>Dak, W-installaties, Terrein</t>
  </si>
  <si>
    <t>E-installaties, vaste inrichting</t>
  </si>
  <si>
    <t>Terrein, Gevel, Dak</t>
  </si>
  <si>
    <t>LOSSE TOESLAGEN (DIRECTE KOSTEN + AUK + AK + W&amp;R incl. Bijkomende Kosten &amp; BTW)</t>
  </si>
  <si>
    <t>EXPLOITATIE &gt; BASIS</t>
  </si>
  <si>
    <t>EXPLOITATIE &gt; GECORRIGEERD</t>
  </si>
  <si>
    <t>Deze hebben relatie met keuzes "toeslagen"</t>
  </si>
  <si>
    <t>Zeer beperkt/geen impact</t>
  </si>
  <si>
    <t>wel impact</t>
  </si>
  <si>
    <t>nooit impact</t>
  </si>
  <si>
    <t>Onderdeel</t>
  </si>
  <si>
    <t>Hoeveelheid</t>
  </si>
  <si>
    <t>Prijs/ eenheid</t>
  </si>
  <si>
    <t>vanuit tab elementclusters, obv TOP totaal tab elementclusters?</t>
  </si>
  <si>
    <t>BASIS (OBV ELEMENTCLUSTERS)</t>
  </si>
  <si>
    <t>kavel</t>
  </si>
  <si>
    <t>BTW</t>
  </si>
  <si>
    <t>Totale bouwkosten INCL BTW</t>
  </si>
  <si>
    <t>BASIS OBV NEN2699</t>
  </si>
  <si>
    <t>TOTAAL</t>
  </si>
  <si>
    <t>TOESLAGEN (DIRECTE KOSTEN + AUK + AK + W&amp;R incl. Bijkomende Kosten &amp; BTW)</t>
  </si>
  <si>
    <t>Totaal Toeslagen</t>
  </si>
  <si>
    <t>Berekend</t>
  </si>
  <si>
    <t>Power law (F3) with caps (+5% / -3%)</t>
  </si>
  <si>
    <t>&lt;&lt;invullen BVO</t>
  </si>
  <si>
    <t>Investeringskosten (incl btw)</t>
  </si>
  <si>
    <t>Toeslagen o.b.v. kwaliteitskader</t>
  </si>
  <si>
    <t>Totaal aanvullend (incl BTW)</t>
  </si>
  <si>
    <t>Toeslagen o.b.v. eigen berekening POM</t>
  </si>
  <si>
    <t>Totaal per m2 BVO/jaar (incl BTW)</t>
  </si>
  <si>
    <t>LCC — 40 years (rotated: items down, years across; CAPEX in Y1, OPEX in Y2..Y40)</t>
  </si>
  <si>
    <t>Analysis years</t>
  </si>
  <si>
    <t>Discount rate (per year)</t>
  </si>
  <si>
    <t>Escalation (per year)</t>
  </si>
  <si>
    <t>Area (m²)</t>
  </si>
  <si>
    <t>Discount factors</t>
  </si>
  <si>
    <t>Item</t>
  </si>
  <si>
    <t>PO BASIS B (baseline)</t>
  </si>
  <si>
    <t>Per m² (current) from PO BASIS G</t>
  </si>
  <si>
    <t>Year 0</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</si>
  <si>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</si>
  <si>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</si>
  <si>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</si>
  <si>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</si>
  <si>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</si>
  <si>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</si>
  <si>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</si>
  <si>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</si>
  <si>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</si>
  <si>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</si>
  <si>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</si>
  <si>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</si>
  <si>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</si>
  <si>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</si>
  <si>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</si>
  <si>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</si>
  <si>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</si>
  <si>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</si>
  <si>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</si>
  <si>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</si>
  <si>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</si>
  <si>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</si>
  <si>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</si>
  <si>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</si>
  <si>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</si>
  <si>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</si>
  <si>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Year 27</t>
  </si>
  <si>
    <t>Year 28</t>
  </si>
  <si>
    <t>Year 29</t>
  </si>
  <si>
    <t>Year 30</t>
  </si>
  <si>
    <t>Year 31</t>
  </si>
  <si>
    <t>Year 32</t>
  </si>
  <si>
    <t>Year 33</t>
  </si>
  <si>
    <t>Year 34</t>
  </si>
  <si>
    <t>Year 35</t>
  </si>
  <si>
    <t>Year 36</t>
  </si>
  <si>
    <t>Year 37</t>
  </si>
  <si>
    <t>Year 38</t>
  </si>
  <si>
    <t>Year 39</t>
  </si>
  <si>
    <t>PV (sum of 0..40 years)</t>
  </si>
  <si>
    <t>CAPEX-BASIS (NEN2699)</t>
  </si>
  <si>
    <t>CAPEX-TOESLAGEN</t>
  </si>
  <si>
    <t>GEMAAKTE KEUZE:</t>
  </si>
  <si>
    <t>OPEX</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</si>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</sst>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 #,##0"/>
    <numFmt numFmtId="165" formatCode="_ [$€-2]\ * #,##0_ ;_ [$€-2]\ * \-#,##0_ ;_ [$€-2]\ * &quot;-&quot;??_ ;_ @_ "/>
    <numFmt numFmtId="166" formatCode="0.000"/>
  </numFmts>
  <fonts count="15">
    <font>
      <sz val="11"/>
      <color theme="1"/>
      <name val="Aptos Narrow"/>
      <family val="2"/>
      <scheme val="minor"/>
    </font>
    <font>
      <b/>
      <sz val="11"/>
      <color theme="1"/>
      <name val="Aptos Narrow"/>
      <family val="2"/>
      <scheme val="minor"/>
    </font>
    <font>
      <b/>
      <i/>
      <sz val="11"/>
      <color theme="1"/>
      <name val="Aptos Narrow"/>
      <family val="2"/>
      <scheme val="minor"/>
    </font>
    <font>
      <b/>
      <sz val="12"/>
      <name val="Aptos Narrow"/>
      <family val="2"/>
    </font>
    <font>
      <b/>
      <sz val="11"/>
      <name val="Aptos Narrow"/>
      <family val="2"/>
    </font>
    <font>
      <b/>
      <i/>
      <sz val="11"/>
      <name val="Aptos Narrow"/>
      <family val="2"/>
    </font>
    <font>
      <sz val="11"/>
      <color theme="1"/>
      <name val="Aptos Narrow"/>
      <family val="2"/>
      <scheme val="minor"/>
    </font>
    <font>
      <u/>
      <sz val="11"/>
      <color theme="10"/>
      <name val="Aptos Narrow"/>
      <family val="2"/>
      <scheme val="minor"/>
    </font>
    <font>
      <sz val="11"/>
      <color indexed="8"/>
      <name val="Aptos Narrow"/>
      <family val="2"/>
      <scheme val="minor"/>
    </font>
    <font>
      <b/>
      <sz val="14"/>
      <color theme="0"/>
      <name val="Aptos Narrow"/>
      <family val="2"/>
      <scheme val="minor"/>
    </font>
    <font>
      <b/>
      <sz val="12"/>
      <name val="Calibri"/>
      <family val="2"/>
    </font>
    <font>
      <sz val="12"/>
      <name val="Calibri"/>
      <family val="2"/>
    </font>
    <font>
      <sz val="9"/>
      <color indexed="81"/>
      <name val="Tahoma"/>
      <family val="2"/>
    </font>
    <font>
      <b/>
      <sz val="9"/>
      <color indexed="81"/>
      <name val="Tahoma"/>
      <family val="2"/>
    </font>
    <font>
      <sz val="11"/>
      <color rgb="FFFF0000"/>
      <name val="Aptos Narrow"/>
      <family val="2"/>
      <scheme val="minor"/>
    </font>
  </fonts>
  <fills count="13">
    <fill>
      <patternFill patternType="none"/>
    </fill>
    <fill>
      <patternFill patternType="gray125"/>
    </fill>
    <fill>
      <patternFill patternType="solid">
        <fgColor rgb="FFFFF2CC"/>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rgb="FFFFC000"/>
        <bgColor indexed="64"/>
      </patternFill>
    </fill>
    <fill>
      <patternFill patternType="solid">
        <fgColor theme="4"/>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14999847407452621"/>
        <bgColor indexed="64"/>
      </patternFill>
    </fill>
  </fills>
  <borders count="30">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s>
  <cellStyleXfs count="5">
    <xf numFmtId="0" fontId="0" fillId="0" borderId="0"/>
    <xf numFmtId="43" fontId="6" fillId="0" borderId="0" applyFont="0" applyFill="0" applyBorder="0" applyAlignment="0" applyProtection="0"/>
    <xf numFmtId="0" fontId="7" fillId="0" borderId="0" applyNumberFormat="0" applyFill="0" applyBorder="0" applyAlignment="0" applyProtection="0"/>
    <xf numFmtId="0" fontId="8" fillId="0" borderId="0"/>
    <xf numFmtId="9" fontId="6" fillId="0" borderId="0" applyFont="0" applyFill="0" applyBorder="0" applyAlignment="0" applyProtection="0"/>
  </cellStyleXfs>
  <cellXfs count="174">
    <xf numFmtId="0" fontId="0" fillId="0" borderId="0" xfId="0"/>
    <xf numFmtId="0" fontId="1" fillId="0" borderId="0" xfId="0" applyFont="1"/>
    <xf numFmtId="9" fontId="0" fillId="0" borderId="0" xfId="0" applyNumberFormat="1"/>
    <xf numFmtId="164" fontId="0" fillId="0" borderId="0" xfId="0" applyNumberFormat="1"/>
    <xf numFmtId="0" fontId="2" fillId="0" borderId="0" xfId="0" applyFont="1"/>
    <xf numFmtId="164" fontId="1" fillId="0" borderId="0" xfId="0" applyNumberFormat="1" applyFont="1"/>
    <xf numFmtId="164" fontId="2" fillId="0" borderId="0" xfId="0" applyNumberFormat="1" applyFont="1"/>
    <xf numFmtId="0" fontId="0" fillId="0" borderId="1" xfId="0" applyBorder="1"/>
    <xf numFmtId="164" fontId="0" fillId="0" borderId="1" xfId="0" applyNumberFormat="1" applyBorder="1"/>
    <xf numFmtId="0" fontId="3" fillId="0" borderId="0" xfId="0" applyFont="1"/>
    <xf numFmtId="0" fontId="0" fillId="2" borderId="0" xfId="0" applyFill="1"/>
    <xf numFmtId="0" fontId="4" fillId="0" borderId="0" xfId="0" applyFont="1"/>
    <xf numFmtId="0" fontId="5" fillId="0" borderId="0" xfId="0" applyFont="1"/>
    <xf numFmtId="0" fontId="0" fillId="2" borderId="2" xfId="0" applyFill="1" applyBorder="1"/>
    <xf numFmtId="0" fontId="0" fillId="5" borderId="0" xfId="0" applyFill="1"/>
    <xf numFmtId="0" fontId="0" fillId="6" borderId="0" xfId="0" applyFill="1"/>
    <xf numFmtId="43" fontId="0" fillId="3" borderId="2" xfId="1" applyFont="1" applyFill="1" applyBorder="1"/>
    <xf numFmtId="0" fontId="2" fillId="0" borderId="5" xfId="0" applyFont="1" applyBorder="1"/>
    <xf numFmtId="0" fontId="0" fillId="0" borderId="6" xfId="0"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0" fillId="0" borderId="11" xfId="0" applyBorder="1"/>
    <xf numFmtId="2" fontId="0" fillId="0" borderId="0" xfId="0" applyNumberFormat="1"/>
    <xf numFmtId="2" fontId="0" fillId="0" borderId="12" xfId="0" applyNumberFormat="1" applyBorder="1"/>
    <xf numFmtId="2" fontId="0" fillId="5" borderId="3" xfId="0" applyNumberFormat="1" applyFill="1" applyBorder="1"/>
    <xf numFmtId="0" fontId="0" fillId="0" borderId="13" xfId="0" applyBorder="1"/>
    <xf numFmtId="2" fontId="0" fillId="0" borderId="1" xfId="0" applyNumberFormat="1" applyBorder="1"/>
    <xf numFmtId="2" fontId="0" fillId="0" borderId="14" xfId="0" applyNumberFormat="1" applyBorder="1"/>
    <xf numFmtId="2" fontId="0" fillId="5" borderId="4" xfId="0" applyNumberFormat="1" applyFill="1" applyBorder="1"/>
    <xf numFmtId="0" fontId="0" fillId="0" borderId="5" xfId="0" applyBorder="1"/>
    <xf numFmtId="0" fontId="0" fillId="0" borderId="7" xfId="0" applyBorder="1"/>
    <xf numFmtId="0" fontId="1" fillId="0" borderId="5" xfId="0" applyFont="1" applyBorder="1"/>
    <xf numFmtId="0" fontId="1" fillId="0" borderId="13" xfId="0" applyFont="1" applyBorder="1"/>
    <xf numFmtId="0" fontId="0" fillId="0" borderId="14" xfId="0" applyBorder="1"/>
    <xf numFmtId="0" fontId="0" fillId="0" borderId="9" xfId="0" applyBorder="1"/>
    <xf numFmtId="0" fontId="0" fillId="0" borderId="10" xfId="0" applyBorder="1"/>
    <xf numFmtId="0" fontId="0" fillId="0" borderId="12" xfId="0" applyBorder="1"/>
    <xf numFmtId="43" fontId="0" fillId="0" borderId="0" xfId="1" applyFont="1"/>
    <xf numFmtId="43" fontId="0" fillId="4" borderId="3" xfId="1" applyFont="1" applyFill="1" applyBorder="1"/>
    <xf numFmtId="43" fontId="0" fillId="4" borderId="4" xfId="1" applyFont="1" applyFill="1" applyBorder="1"/>
    <xf numFmtId="0" fontId="8" fillId="0" borderId="0" xfId="3"/>
    <xf numFmtId="0" fontId="10" fillId="9" borderId="20" xfId="3" applyFont="1" applyFill="1" applyBorder="1" applyAlignment="1">
      <alignment wrapText="1"/>
    </xf>
    <xf numFmtId="0" fontId="10" fillId="9" borderId="20" xfId="3" applyFont="1" applyFill="1" applyBorder="1"/>
    <xf numFmtId="0" fontId="10" fillId="10" borderId="20" xfId="3" applyFont="1" applyFill="1" applyBorder="1" applyAlignment="1">
      <alignment wrapText="1"/>
    </xf>
    <xf numFmtId="0" fontId="11" fillId="0" borderId="20" xfId="3" applyFont="1" applyBorder="1"/>
    <xf numFmtId="0" fontId="11" fillId="0" borderId="20" xfId="3" applyFont="1" applyBorder="1" applyAlignment="1">
      <alignment wrapText="1"/>
    </xf>
    <xf numFmtId="0" fontId="8" fillId="0" borderId="20" xfId="3" applyBorder="1"/>
    <xf numFmtId="0" fontId="8" fillId="0" borderId="21" xfId="3" applyBorder="1"/>
    <xf numFmtId="0" fontId="8" fillId="0" borderId="21" xfId="3" applyBorder="1" applyAlignment="1">
      <alignment wrapText="1"/>
    </xf>
    <xf numFmtId="0" fontId="8" fillId="0" borderId="20" xfId="3" applyBorder="1" applyAlignment="1">
      <alignment wrapText="1"/>
    </xf>
    <xf numFmtId="0" fontId="7" fillId="0" borderId="0" xfId="2"/>
    <xf numFmtId="0" fontId="11" fillId="0" borderId="22" xfId="3" applyFont="1" applyBorder="1"/>
    <xf numFmtId="0" fontId="11" fillId="0" borderId="22" xfId="3" applyFont="1" applyBorder="1" applyAlignment="1">
      <alignment wrapText="1"/>
    </xf>
    <xf numFmtId="0" fontId="8" fillId="0" borderId="22" xfId="3" applyBorder="1"/>
    <xf numFmtId="0" fontId="8" fillId="0" borderId="0" xfId="3" applyAlignment="1">
      <alignment wrapText="1"/>
    </xf>
    <xf numFmtId="0" fontId="8" fillId="0" borderId="17" xfId="3" applyBorder="1"/>
    <xf numFmtId="43" fontId="0" fillId="6" borderId="0" xfId="0" applyNumberFormat="1" applyFill="1"/>
    <xf numFmtId="0" fontId="0" fillId="0" borderId="23" xfId="0" applyBorder="1"/>
    <xf numFmtId="0" fontId="0" fillId="0" borderId="3" xfId="0" applyBorder="1"/>
    <xf numFmtId="0" fontId="0" fillId="0" borderId="4" xfId="0" applyBorder="1"/>
    <xf numFmtId="0" fontId="1" fillId="0" borderId="0" xfId="0" applyFont="1" applyAlignment="1">
      <alignment wrapText="1"/>
    </xf>
    <xf numFmtId="0" fontId="1" fillId="0" borderId="0" xfId="0" applyFont="1" applyAlignment="1">
      <alignment horizontal="center" wrapText="1"/>
    </xf>
    <xf numFmtId="9" fontId="1" fillId="0" borderId="0" xfId="0" applyNumberFormat="1" applyFont="1" applyAlignment="1">
      <alignment horizontal="center" wrapText="1"/>
    </xf>
    <xf numFmtId="0" fontId="1" fillId="0" borderId="12" xfId="0" applyFont="1" applyBorder="1" applyAlignment="1">
      <alignment horizontal="center" wrapText="1"/>
    </xf>
    <xf numFmtId="0" fontId="1" fillId="6" borderId="0" xfId="0" applyFont="1" applyFill="1"/>
    <xf numFmtId="43" fontId="1" fillId="6" borderId="0" xfId="0" applyNumberFormat="1" applyFont="1" applyFill="1"/>
    <xf numFmtId="165" fontId="0" fillId="0" borderId="0" xfId="1" applyNumberFormat="1" applyFont="1"/>
    <xf numFmtId="165" fontId="0" fillId="0" borderId="0" xfId="0" applyNumberFormat="1"/>
    <xf numFmtId="165" fontId="2" fillId="0" borderId="0" xfId="0" applyNumberFormat="1" applyFont="1"/>
    <xf numFmtId="165" fontId="1" fillId="0" borderId="0" xfId="1" applyNumberFormat="1" applyFont="1"/>
    <xf numFmtId="165" fontId="1" fillId="0" borderId="0" xfId="0" applyNumberFormat="1" applyFont="1"/>
    <xf numFmtId="49" fontId="0" fillId="0" borderId="0" xfId="4" applyNumberFormat="1" applyFont="1" applyAlignment="1">
      <alignment horizontal="left"/>
    </xf>
    <xf numFmtId="9" fontId="0" fillId="0" borderId="0" xfId="0" quotePrefix="1" applyNumberFormat="1"/>
    <xf numFmtId="0" fontId="1" fillId="0" borderId="23" xfId="0" applyFont="1" applyBorder="1"/>
    <xf numFmtId="0" fontId="0" fillId="5" borderId="11" xfId="0" applyFill="1" applyBorder="1"/>
    <xf numFmtId="0" fontId="0" fillId="5" borderId="13" xfId="0" applyFill="1" applyBorder="1"/>
    <xf numFmtId="1" fontId="0" fillId="11" borderId="5" xfId="0" applyNumberFormat="1" applyFill="1" applyBorder="1"/>
    <xf numFmtId="1" fontId="0" fillId="11" borderId="6" xfId="0" applyNumberFormat="1" applyFill="1" applyBorder="1"/>
    <xf numFmtId="1" fontId="0" fillId="11" borderId="7" xfId="0" applyNumberFormat="1" applyFill="1" applyBorder="1"/>
    <xf numFmtId="1" fontId="0" fillId="11" borderId="11" xfId="0" applyNumberFormat="1" applyFill="1" applyBorder="1"/>
    <xf numFmtId="1" fontId="0" fillId="11" borderId="0" xfId="0" applyNumberFormat="1" applyFill="1"/>
    <xf numFmtId="1" fontId="0" fillId="11" borderId="12" xfId="0" applyNumberFormat="1" applyFill="1" applyBorder="1"/>
    <xf numFmtId="1" fontId="0" fillId="11" borderId="13" xfId="0" applyNumberFormat="1" applyFill="1" applyBorder="1"/>
    <xf numFmtId="1" fontId="0" fillId="11" borderId="1" xfId="0" applyNumberFormat="1" applyFill="1" applyBorder="1"/>
    <xf numFmtId="1" fontId="0" fillId="11" borderId="14" xfId="0" applyNumberFormat="1" applyFill="1" applyBorder="1"/>
    <xf numFmtId="0" fontId="1" fillId="0" borderId="1" xfId="0" applyFont="1" applyBorder="1" applyAlignment="1">
      <alignment horizontal="center" wrapText="1"/>
    </xf>
    <xf numFmtId="9" fontId="1" fillId="0" borderId="1" xfId="0" applyNumberFormat="1" applyFont="1" applyBorder="1" applyAlignment="1">
      <alignment horizontal="center" wrapText="1"/>
    </xf>
    <xf numFmtId="0" fontId="1" fillId="0" borderId="14" xfId="0" applyFont="1" applyBorder="1" applyAlignment="1">
      <alignment horizontal="center" wrapText="1"/>
    </xf>
    <xf numFmtId="2" fontId="0" fillId="0" borderId="11" xfId="0" applyNumberFormat="1" applyBorder="1"/>
    <xf numFmtId="0" fontId="0" fillId="0" borderId="24" xfId="0" applyBorder="1"/>
    <xf numFmtId="0" fontId="0" fillId="0" borderId="27" xfId="0" applyBorder="1"/>
    <xf numFmtId="1" fontId="0" fillId="0" borderId="5" xfId="0" applyNumberFormat="1" applyBorder="1"/>
    <xf numFmtId="1" fontId="0" fillId="6" borderId="6" xfId="0" applyNumberFormat="1" applyFill="1" applyBorder="1"/>
    <xf numFmtId="1" fontId="0" fillId="0" borderId="7" xfId="0" applyNumberFormat="1" applyBorder="1"/>
    <xf numFmtId="1" fontId="0" fillId="0" borderId="0" xfId="0" applyNumberFormat="1"/>
    <xf numFmtId="1" fontId="0" fillId="0" borderId="28" xfId="0" applyNumberFormat="1" applyBorder="1"/>
    <xf numFmtId="1" fontId="0" fillId="0" borderId="25" xfId="0" applyNumberFormat="1" applyBorder="1"/>
    <xf numFmtId="1" fontId="0" fillId="0" borderId="12" xfId="0" applyNumberFormat="1" applyBorder="1"/>
    <xf numFmtId="1" fontId="0" fillId="0" borderId="11" xfId="0" applyNumberFormat="1" applyBorder="1"/>
    <xf numFmtId="1" fontId="0" fillId="6" borderId="0" xfId="0" applyNumberFormat="1" applyFill="1"/>
    <xf numFmtId="1" fontId="1" fillId="0" borderId="11" xfId="0" applyNumberFormat="1" applyFont="1" applyBorder="1"/>
    <xf numFmtId="1" fontId="1" fillId="6" borderId="0" xfId="0" applyNumberFormat="1" applyFont="1" applyFill="1"/>
    <xf numFmtId="1" fontId="1" fillId="0" borderId="12" xfId="0" applyNumberFormat="1" applyFont="1" applyBorder="1"/>
    <xf numFmtId="1" fontId="1" fillId="0" borderId="0" xfId="0" applyNumberFormat="1" applyFont="1"/>
    <xf numFmtId="1" fontId="1" fillId="0" borderId="28" xfId="0" applyNumberFormat="1" applyFont="1" applyBorder="1"/>
    <xf numFmtId="1" fontId="1" fillId="0" borderId="25" xfId="0" applyNumberFormat="1" applyFont="1" applyBorder="1"/>
    <xf numFmtId="1" fontId="1" fillId="0" borderId="13" xfId="0" applyNumberFormat="1" applyFont="1" applyBorder="1"/>
    <xf numFmtId="1" fontId="1" fillId="6" borderId="1" xfId="0" applyNumberFormat="1" applyFont="1" applyFill="1" applyBorder="1"/>
    <xf numFmtId="1" fontId="1" fillId="0" borderId="14" xfId="0" applyNumberFormat="1" applyFont="1" applyBorder="1"/>
    <xf numFmtId="1" fontId="1" fillId="0" borderId="1" xfId="0" applyNumberFormat="1" applyFont="1" applyBorder="1"/>
    <xf numFmtId="1" fontId="1" fillId="0" borderId="29" xfId="0" applyNumberFormat="1" applyFont="1" applyBorder="1"/>
    <xf numFmtId="1" fontId="1" fillId="0" borderId="26" xfId="0" applyNumberFormat="1" applyFont="1" applyBorder="1"/>
    <xf numFmtId="2" fontId="0" fillId="6" borderId="0" xfId="0" applyNumberFormat="1" applyFill="1"/>
    <xf numFmtId="2" fontId="0" fillId="0" borderId="28" xfId="0" applyNumberFormat="1" applyBorder="1"/>
    <xf numFmtId="2" fontId="0" fillId="0" borderId="25" xfId="0" applyNumberFormat="1" applyBorder="1"/>
    <xf numFmtId="1" fontId="0" fillId="0" borderId="13" xfId="0" applyNumberFormat="1" applyBorder="1"/>
    <xf numFmtId="1" fontId="0" fillId="0" borderId="1" xfId="0" applyNumberFormat="1" applyBorder="1"/>
    <xf numFmtId="1" fontId="0" fillId="0" borderId="14" xfId="0" applyNumberFormat="1" applyBorder="1"/>
    <xf numFmtId="0" fontId="0" fillId="12" borderId="2" xfId="0" applyFill="1" applyBorder="1"/>
    <xf numFmtId="0" fontId="0" fillId="0" borderId="0" xfId="0" applyAlignment="1">
      <alignment wrapText="1"/>
    </xf>
    <xf numFmtId="166" fontId="0" fillId="0" borderId="0" xfId="0" applyNumberFormat="1"/>
    <xf numFmtId="9" fontId="0" fillId="0" borderId="0" xfId="4" applyFont="1"/>
    <xf numFmtId="9" fontId="0" fillId="12" borderId="2" xfId="4" applyFont="1" applyFill="1" applyBorder="1"/>
    <xf numFmtId="0" fontId="14" fillId="0" borderId="0" xfId="0" applyFont="1"/>
    <xf numFmtId="164" fontId="0" fillId="0" borderId="0" xfId="1" applyNumberFormat="1" applyFont="1"/>
    <xf numFmtId="164" fontId="2" fillId="0" borderId="0" xfId="1" applyNumberFormat="1" applyFont="1"/>
    <xf numFmtId="164" fontId="1" fillId="0" borderId="0" xfId="1" applyNumberFormat="1" applyFont="1"/>
    <xf numFmtId="43" fontId="0" fillId="4" borderId="23" xfId="1" applyFont="1" applyFill="1" applyBorder="1"/>
    <xf numFmtId="9" fontId="1" fillId="0" borderId="0" xfId="4" applyFont="1" applyAlignment="1">
      <alignment horizontal="center" wrapText="1"/>
    </xf>
    <xf numFmtId="0" fontId="0" fillId="0" borderId="0" xfId="0" quotePrefix="1"/>
    <xf numFmtId="0" fontId="1" fillId="0" borderId="0" xfId="0" applyFont="1" applyAlignment="1">
      <alignment horizontal="right"/>
    </xf>
    <xf numFmtId="9" fontId="2" fillId="0" borderId="0" xfId="4" applyFont="1"/>
    <xf numFmtId="0" fontId="0" fillId="0" borderId="0" xfId="1" applyNumberFormat="1" applyFont="1"/>
    <xf numFmtId="0" fontId="11" fillId="0" borderId="20" xfId="3" applyFont="1" applyBorder="1" applyAlignment="1">
      <alignment horizontal="center" vertical="center" wrapText="1"/>
    </xf>
    <xf numFmtId="0" fontId="11" fillId="0" borderId="22" xfId="3" applyFont="1" applyBorder="1" applyAlignment="1">
      <alignment horizontal="center" vertical="center" wrapText="1"/>
    </xf>
    <xf numFmtId="0" fontId="11" fillId="0" borderId="20" xfId="3" applyFont="1" applyBorder="1" applyAlignment="1">
      <alignment horizontal="center" vertical="center"/>
    </xf>
    <xf numFmtId="0" fontId="11" fillId="0" borderId="22" xfId="3" applyFont="1" applyBorder="1" applyAlignment="1">
      <alignment horizontal="center" vertical="center"/>
    </xf>
    <xf numFmtId="0" fontId="9" fillId="7" borderId="15" xfId="3" applyFont="1" applyFill="1" applyBorder="1" applyAlignment="1">
      <alignment horizontal="center" wrapText="1"/>
    </xf>
    <xf numFmtId="0" fontId="9" fillId="7" borderId="16" xfId="3" applyFont="1" applyFill="1" applyBorder="1" applyAlignment="1">
      <alignment horizontal="center" wrapText="1"/>
    </xf>
    <xf numFmtId="0" fontId="9" fillId="7" borderId="17" xfId="3" applyFont="1" applyFill="1" applyBorder="1" applyAlignment="1">
      <alignment horizontal="center" wrapText="1"/>
    </xf>
    <xf numFmtId="0" fontId="9" fillId="8" borderId="18" xfId="3" applyFont="1" applyFill="1" applyBorder="1" applyAlignment="1">
      <alignment horizontal="center"/>
    </xf>
    <xf numFmtId="0" fontId="9" fillId="8" borderId="19" xfId="3" applyFont="1" applyFill="1" applyBorder="1" applyAlignment="1">
      <alignment horizontal="center"/>
    </xf>
    <xf numFmtId="43" fontId="0" fillId="5" borderId="13" xfId="1" applyFont="1" applyFill="1" applyBorder="1" applyAlignment="1">
      <alignment horizontal="center"/>
    </xf>
    <xf numFmtId="43" fontId="0" fillId="5" borderId="14" xfId="1" applyFont="1" applyFill="1" applyBorder="1" applyAlignment="1">
      <alignment horizontal="center"/>
    </xf>
    <xf numFmtId="43" fontId="0" fillId="3" borderId="13" xfId="1" applyFont="1" applyFill="1" applyBorder="1" applyAlignment="1">
      <alignment horizontal="center"/>
    </xf>
    <xf numFmtId="43" fontId="0" fillId="3" borderId="14" xfId="1" applyFont="1" applyFill="1" applyBorder="1" applyAlignment="1">
      <alignment horizontal="center"/>
    </xf>
    <xf numFmtId="43" fontId="0" fillId="5" borderId="11" xfId="1" applyFont="1" applyFill="1" applyBorder="1" applyAlignment="1">
      <alignment horizontal="center"/>
    </xf>
    <xf numFmtId="43" fontId="0" fillId="5" borderId="12" xfId="1" applyFont="1" applyFill="1" applyBorder="1" applyAlignment="1">
      <alignment horizontal="center"/>
    </xf>
    <xf numFmtId="43" fontId="0" fillId="3" borderId="11" xfId="1" applyFont="1" applyFill="1" applyBorder="1" applyAlignment="1">
      <alignment horizontal="center"/>
    </xf>
    <xf numFmtId="43" fontId="0" fillId="3" borderId="12" xfId="1" applyFont="1" applyFill="1" applyBorder="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43" fontId="0" fillId="5" borderId="5" xfId="1" applyFont="1" applyFill="1" applyBorder="1" applyAlignment="1">
      <alignment horizontal="center"/>
    </xf>
    <xf numFmtId="43" fontId="0" fillId="5" borderId="7" xfId="1" applyFont="1" applyFill="1" applyBorder="1" applyAlignment="1">
      <alignment horizontal="center"/>
    </xf>
    <xf numFmtId="43" fontId="0" fillId="3" borderId="5" xfId="1" applyFont="1" applyFill="1" applyBorder="1" applyAlignment="1">
      <alignment horizontal="center"/>
    </xf>
    <xf numFmtId="43" fontId="0" fillId="3" borderId="7" xfId="1" applyFont="1" applyFill="1" applyBorder="1" applyAlignment="1">
      <alignment horizontal="center"/>
    </xf>
    <xf numFmtId="0" fontId="1" fillId="0" borderId="6" xfId="0" applyFont="1" applyBorder="1" applyAlignment="1">
      <alignment horizontal="center" wrapText="1"/>
    </xf>
    <xf numFmtId="0" fontId="1" fillId="0" borderId="6" xfId="0" applyFont="1"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14" xfId="0" applyFont="1" applyBorder="1" applyAlignment="1">
      <alignment horizontal="center" vertical="center"/>
    </xf>
    <xf numFmtId="0" fontId="1" fillId="0" borderId="11" xfId="0" applyFont="1" applyBorder="1"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0" xfId="0" applyFont="1" applyAlignment="1">
      <alignment horizontal="center" wrapText="1"/>
    </xf>
    <xf numFmtId="0" fontId="1" fillId="0" borderId="7" xfId="0" applyFont="1" applyBorder="1" applyAlignment="1">
      <alignment horizontal="center" wrapText="1"/>
    </xf>
  </cellXfs>
  <cellStyles count="5">
    <cellStyle name="Hyperlink" xfId="2" builtinId="8"/>
    <cellStyle name="Komma" xfId="1" builtinId="3"/>
    <cellStyle name="Normal 2" xfId="3" xr:uid="{A5F1D60B-9E4B-4618-96B0-CC5BB66C04F7}"/>
    <cellStyle name="Procent" xfId="4" builtinId="5"/>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TCO o.b.v. 40 jaar exploitatie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col"/>
        <c:grouping val="clustered"/>
        <c:varyColors val="0"/>
        <c:ser>
          <c:idx val="0"/>
          <c:order val="0"/>
          <c:spPr>
            <a:solidFill>
              <a:schemeClr val="accent1"/>
            </a:solidFill>
            <a:ln>
              <a:noFill/>
            </a:ln>
            <a:effectLst/>
          </c:spPr>
          <c:invertIfNegative val="0"/>
          <c:cat>
            <c:strRef>
              <c:f>'TCO OUTPUT'!$E$8:$AR$8</c:f>
              <c:strCache>
                <c:ptCount val="40"/>
                <c:pt idx="0">
                  <c:v>Year 0</c:v>
                </c:pt>
                <c:pt idx="1">
                  <c:v>Year 1</c:v>
                </c:pt>
                <c:pt idx="2">
                  <c:v>Year 2</c:v>
                </c:pt>
                <c:pt idx="3">
                  <c:v>Year 3</c:v>
                </c:pt>
                <c:pt idx="4">
                  <c:v>Year 4</c:v>
                </c:pt>
                <c:pt idx="5">
                  <c:v>Year 5</c:v>
                </c:pt>
                <c:pt idx="6">
                  <c:v>Year 6</c:v>
                </c:pt>
                <c:pt idx="7">
                  <c:v>Year 7</c:v>
                </c:pt>
                <c:pt idx="8">
                  <c:v>Year 8</c:v>
                </c:pt>
                <c:pt idx="9">
                  <c:v>Year 9</c:v>
                </c:pt>
                <c:pt idx="10">
                  <c:v>Year 10</c:v>
                </c:pt>
                <c:pt idx="11">
                  <c:v>Year 11</c:v>
                </c:pt>
                <c:pt idx="12">
                  <c:v>Year 12</c:v>
                </c:pt>
                <c:pt idx="13">
                  <c:v>Year 13</c:v>
                </c:pt>
                <c:pt idx="14">
                  <c:v>Year 14</c:v>
                </c:pt>
                <c:pt idx="15">
                  <c:v>Year 15</c:v>
                </c:pt>
                <c:pt idx="16">
                  <c:v>Year 16</c:v>
                </c:pt>
                <c:pt idx="17">
                  <c:v>Year 17</c:v>
                </c:pt>
                <c:pt idx="18">
                  <c:v>Year 18</c:v>
                </c:pt>
                <c:pt idx="19">
                  <c:v>Year 19</c:v>
                </c:pt>
                <c:pt idx="20">
                  <c:v>Year 20</c:v>
                </c:pt>
                <c:pt idx="21">
                  <c:v>Year 21</c:v>
                </c:pt>
                <c:pt idx="22">
                  <c:v>Year 22</c:v>
                </c:pt>
                <c:pt idx="23">
                  <c:v>Year 23</c:v>
                </c:pt>
                <c:pt idx="24">
                  <c:v>Year 24</c:v>
                </c:pt>
                <c:pt idx="25">
                  <c:v>Year 25</c:v>
                </c:pt>
                <c:pt idx="26">
                  <c:v>Year 26</c:v>
                </c:pt>
                <c:pt idx="27">
                  <c:v>Year 27</c:v>
                </c:pt>
                <c:pt idx="28">
                  <c:v>Year 28</c:v>
                </c:pt>
                <c:pt idx="29">
                  <c:v>Year 29</c:v>
                </c:pt>
                <c:pt idx="30">
                  <c:v>Year 30</c:v>
                </c:pt>
                <c:pt idx="31">
                  <c:v>Year 31</c:v>
                </c:pt>
                <c:pt idx="32">
                  <c:v>Year 32</c:v>
                </c:pt>
                <c:pt idx="33">
                  <c:v>Year 33</c:v>
                </c:pt>
                <c:pt idx="34">
                  <c:v>Year 34</c:v>
                </c:pt>
                <c:pt idx="35">
                  <c:v>Year 35</c:v>
                </c:pt>
                <c:pt idx="36">
                  <c:v>Year 36</c:v>
                </c:pt>
                <c:pt idx="37">
                  <c:v>Year 37</c:v>
                </c:pt>
                <c:pt idx="38">
                  <c:v>Year 38</c:v>
                </c:pt>
                <c:pt idx="39">
                  <c:v>Year 39</c:v>
                </c:pt>
              </c:strCache>
            </c:strRef>
          </c:cat>
          <c:val>
            <c:numRef>
              <c:f>'TCO OUTPUT'!$E$50:$AR$50</c:f>
              <c:numCache>
                <c:formatCode>"€"\ #,##0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8D93-490B-8053-A879F99E2743}"/>
            </c:ext>
          </c:extLst>
        </c:ser>
        <c:dLbls>
          <c:showLegendKey val="0"/>
          <c:showVal val="0"/>
          <c:showCatName val="0"/>
          <c:showSerName val="0"/>
          <c:showPercent val="0"/>
          <c:showBubbleSize val="0"/>
        </c:dLbls>
        <c:gapWidth val="219"/>
        <c:overlap val="-27"/>
        <c:axId val="1939251359"/>
        <c:axId val="1939261919"/>
      </c:barChart>
      <c:catAx>
        <c:axId val="19392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39261919"/>
        <c:crosses val="autoZero"/>
        <c:auto val="1"/>
        <c:lblAlgn val="ctr"/>
        <c:lblOffset val="100"/>
        <c:noMultiLvlLbl val="0"/>
      </c:catAx>
      <c:valAx>
        <c:axId val="193926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392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527049</xdr:colOff>
      <xdr:row>17</xdr:row>
      <xdr:rowOff>150812</xdr:rowOff>
    </xdr:from>
    <xdr:to>
      <xdr:col>14</xdr:col>
      <xdr:colOff>723900</xdr:colOff>
      <xdr:row>34</xdr:row>
      <xdr:rowOff>171450</xdr:rowOff>
    </xdr:to>
    <xdr:graphicFrame macro="">
      <xdr:nvGraphicFramePr>
        <xdr:cNvPr id="3" name="Chart 2">
          <a:extLst>
            <a:ext uri="{FF2B5EF4-FFF2-40B4-BE49-F238E27FC236}">
              <a16:creationId xmlns:a16="http://schemas.microsoft.com/office/drawing/2014/main" id="{2C151A99-EB46-2E8F-8311-AEAD6406D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arcadiso365.sharepoint.com/teams/:x:/s/TenderParametrischmodelonderwijshuisvesting2025/IQBXh4I_vK5UTqDt7vR55hp2AaeEKqJpxzcgpTEQag4GD1Y?email=g.jonkheer%40bdh.nl&amp;e=4vtgt3"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118E-6C10-4019-9707-1FAD32692D7E}">
  <dimension ref="A2:F39"/>
  <sheetViews>
    <sheetView tabSelected="1" workbookViewId="0">
      <selection activeCell="I21" sqref="I21"/>
    </sheetView>
  </sheetViews>
  <sheetFormatPr defaultRowHeight="14.45"/>
  <cols>
    <col min="1" max="1" width="31.85546875" bestFit="1" customWidth="1"/>
    <col min="3" max="3" width="45.42578125" style="122" customWidth="1"/>
    <col min="4" max="4" width="11.7109375" customWidth="1"/>
    <col min="5" max="5" width="12.140625" customWidth="1"/>
  </cols>
  <sheetData>
    <row r="2" spans="1:6" ht="15" thickBot="1">
      <c r="D2" t="s">
        <v>0</v>
      </c>
      <c r="E2" t="s">
        <v>1</v>
      </c>
    </row>
    <row r="3" spans="1:6" ht="15" thickBot="1">
      <c r="A3" s="1" t="s">
        <v>2</v>
      </c>
      <c r="C3" s="122" t="s">
        <v>3</v>
      </c>
      <c r="E3" s="121"/>
      <c r="F3" t="s">
        <v>4</v>
      </c>
    </row>
    <row r="5" spans="1:6">
      <c r="A5" t="s">
        <v>5</v>
      </c>
    </row>
    <row r="6" spans="1:6" ht="15" thickBot="1"/>
    <row r="7" spans="1:6" ht="15" thickBot="1">
      <c r="A7" s="1" t="s">
        <v>6</v>
      </c>
      <c r="C7" s="122" t="s">
        <v>7</v>
      </c>
      <c r="D7" t="s">
        <v>8</v>
      </c>
      <c r="E7" s="121"/>
    </row>
    <row r="8" spans="1:6" ht="15" thickBot="1">
      <c r="C8" s="122" t="s">
        <v>9</v>
      </c>
      <c r="D8" t="s">
        <v>10</v>
      </c>
      <c r="E8" s="121"/>
    </row>
    <row r="9" spans="1:6" ht="15" thickBot="1">
      <c r="C9" s="122" t="s">
        <v>11</v>
      </c>
      <c r="D9" t="s">
        <v>10</v>
      </c>
      <c r="E9" s="121"/>
    </row>
    <row r="10" spans="1:6" ht="15" thickBot="1">
      <c r="C10" s="122" t="s">
        <v>12</v>
      </c>
      <c r="D10" t="s">
        <v>10</v>
      </c>
      <c r="E10" s="121"/>
    </row>
    <row r="11" spans="1:6" ht="15" thickBot="1">
      <c r="C11" s="122" t="s">
        <v>13</v>
      </c>
      <c r="D11" t="s">
        <v>10</v>
      </c>
      <c r="E11" s="121"/>
    </row>
    <row r="12" spans="1:6" ht="15" thickBot="1">
      <c r="C12" s="122" t="s">
        <v>14</v>
      </c>
      <c r="D12" t="s">
        <v>10</v>
      </c>
      <c r="E12" s="121"/>
    </row>
    <row r="13" spans="1:6" ht="15" thickBot="1">
      <c r="C13" s="122" t="s">
        <v>15</v>
      </c>
      <c r="D13" t="s">
        <v>10</v>
      </c>
      <c r="E13" s="121"/>
    </row>
    <row r="14" spans="1:6" ht="15" thickBot="1">
      <c r="C14" s="122" t="s">
        <v>16</v>
      </c>
      <c r="D14" t="s">
        <v>10</v>
      </c>
      <c r="E14" s="121"/>
    </row>
    <row r="15" spans="1:6" ht="15" thickBot="1">
      <c r="C15" s="122" t="s">
        <v>17</v>
      </c>
      <c r="D15" t="s">
        <v>10</v>
      </c>
      <c r="E15" s="121"/>
    </row>
    <row r="18" spans="1:5" ht="15" thickBot="1">
      <c r="A18" s="1" t="s">
        <v>18</v>
      </c>
      <c r="E18" t="s">
        <v>19</v>
      </c>
    </row>
    <row r="19" spans="1:5" ht="15" thickBot="1">
      <c r="C19" s="122" t="s">
        <v>20</v>
      </c>
      <c r="E19" s="121" t="s">
        <v>21</v>
      </c>
    </row>
    <row r="20" spans="1:5" ht="15" thickBot="1">
      <c r="C20" s="122" t="s">
        <v>22</v>
      </c>
      <c r="E20" s="121" t="s">
        <v>23</v>
      </c>
    </row>
    <row r="21" spans="1:5" ht="29.45" thickBot="1">
      <c r="C21" s="122" t="s">
        <v>24</v>
      </c>
      <c r="E21" s="121" t="s">
        <v>25</v>
      </c>
    </row>
    <row r="22" spans="1:5" ht="15" thickBot="1">
      <c r="C22" s="122" t="s">
        <v>26</v>
      </c>
      <c r="E22" s="121" t="s">
        <v>27</v>
      </c>
    </row>
    <row r="23" spans="1:5" ht="15" thickBot="1">
      <c r="C23" s="122" t="s">
        <v>28</v>
      </c>
      <c r="E23" s="121" t="s">
        <v>29</v>
      </c>
    </row>
    <row r="24" spans="1:5" ht="15" thickBot="1">
      <c r="C24" s="122" t="s">
        <v>30</v>
      </c>
      <c r="E24" s="121" t="s">
        <v>21</v>
      </c>
    </row>
    <row r="25" spans="1:5" ht="15" thickBot="1">
      <c r="C25" s="122" t="s">
        <v>31</v>
      </c>
      <c r="E25" s="121" t="s">
        <v>21</v>
      </c>
    </row>
    <row r="26" spans="1:5" ht="15" thickBot="1">
      <c r="C26" s="122" t="s">
        <v>32</v>
      </c>
      <c r="E26" s="121" t="s">
        <v>21</v>
      </c>
    </row>
    <row r="27" spans="1:5" ht="15" thickBot="1">
      <c r="C27" s="122" t="s">
        <v>33</v>
      </c>
      <c r="E27" s="121" t="s">
        <v>21</v>
      </c>
    </row>
    <row r="28" spans="1:5" ht="15" thickBot="1">
      <c r="C28" s="122" t="s">
        <v>34</v>
      </c>
      <c r="E28" s="121" t="s">
        <v>21</v>
      </c>
    </row>
    <row r="29" spans="1:5" ht="15" thickBot="1">
      <c r="C29" s="122" t="s">
        <v>35</v>
      </c>
      <c r="E29" s="121" t="s">
        <v>21</v>
      </c>
    </row>
    <row r="30" spans="1:5" ht="15" thickBot="1">
      <c r="C30" s="122" t="s">
        <v>36</v>
      </c>
      <c r="E30" s="121" t="s">
        <v>21</v>
      </c>
    </row>
    <row r="31" spans="1:5" ht="15" thickBot="1">
      <c r="C31" s="122" t="s">
        <v>37</v>
      </c>
      <c r="E31" s="121" t="s">
        <v>21</v>
      </c>
    </row>
    <row r="32" spans="1:5" ht="15" thickBot="1">
      <c r="C32" s="122" t="s">
        <v>38</v>
      </c>
      <c r="E32" s="121" t="s">
        <v>21</v>
      </c>
    </row>
    <row r="33" spans="1:6" ht="15" thickBot="1">
      <c r="C33" s="122" t="s">
        <v>39</v>
      </c>
      <c r="E33" s="121" t="s">
        <v>21</v>
      </c>
    </row>
    <row r="36" spans="1:6" ht="15" thickBot="1">
      <c r="A36" s="1" t="s">
        <v>40</v>
      </c>
      <c r="C36" s="122" t="s">
        <v>41</v>
      </c>
      <c r="E36" s="2">
        <f>Elementclusters!Q2</f>
        <v>1</v>
      </c>
    </row>
    <row r="37" spans="1:6" ht="15" thickBot="1">
      <c r="C37" s="122" t="s">
        <v>42</v>
      </c>
      <c r="E37" s="125">
        <v>0</v>
      </c>
    </row>
    <row r="38" spans="1:6" ht="15" thickBot="1">
      <c r="C38" s="122" t="s">
        <v>43</v>
      </c>
      <c r="E38" s="125">
        <v>0</v>
      </c>
    </row>
    <row r="39" spans="1:6">
      <c r="C39" s="63" t="s">
        <v>44</v>
      </c>
      <c r="E39" s="124">
        <f>SUM(E36:E38)</f>
        <v>1</v>
      </c>
      <c r="F39" s="126" t="str">
        <f>IF(E39&lt;100%,"CONTROLEER INGEVULDE WAARDEN",IF(E39&gt;100%,"CONTROLEER INGEVULDE WAARDEN",""))</f>
        <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436005E-563A-4BF6-B8F7-255F092261B0}">
          <x14:formula1>
            <xm:f>keuzevelden!$E$1:$E$3</xm:f>
          </x14:formula1>
          <xm:sqref>E23</xm:sqref>
        </x14:dataValidation>
        <x14:dataValidation type="list" allowBlank="1" showInputMessage="1" showErrorMessage="1" xr:uid="{5EC8B0D9-97F5-4B48-BCD5-9A27D5849390}">
          <x14:formula1>
            <xm:f>keuzevelden!$D$1:$D$3</xm:f>
          </x14:formula1>
          <xm:sqref>E22</xm:sqref>
        </x14:dataValidation>
        <x14:dataValidation type="list" allowBlank="1" showInputMessage="1" showErrorMessage="1" xr:uid="{3491555F-5BC4-4E38-830B-AA70AAD9E819}">
          <x14:formula1>
            <xm:f>keuzevelden!$C$1:$C$6</xm:f>
          </x14:formula1>
          <xm:sqref>E21</xm:sqref>
        </x14:dataValidation>
        <x14:dataValidation type="list" allowBlank="1" showInputMessage="1" showErrorMessage="1" xr:uid="{74FFFCF9-9865-4F1F-9735-C9C359CD9C88}">
          <x14:formula1>
            <xm:f>keuzevelden!$B$1:$B$4</xm:f>
          </x14:formula1>
          <xm:sqref>E20</xm:sqref>
        </x14:dataValidation>
        <x14:dataValidation type="list" allowBlank="1" showInputMessage="1" showErrorMessage="1" xr:uid="{BE9A90A3-BDE3-40F5-A5FF-FD22BB0EEF26}">
          <x14:formula1>
            <xm:f>keuzevelden!$A$1:$A$2</xm:f>
          </x14:formula1>
          <xm:sqref>E24:E33 E19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4ADC-6D61-4EAA-A4F2-4C38CD50E959}">
  <sheetPr filterMode="1"/>
  <dimension ref="A1:N1007"/>
  <sheetViews>
    <sheetView zoomScale="85" zoomScaleNormal="85" workbookViewId="0">
      <pane xSplit="5" ySplit="2" topLeftCell="H31" activePane="bottomRight" state="frozen"/>
      <selection pane="bottomRight" activeCell="J31" sqref="J31:J123"/>
      <selection pane="bottomLeft" activeCell="J31" sqref="J31:J123"/>
      <selection pane="topRight" activeCell="J31" sqref="J31:J123"/>
    </sheetView>
  </sheetViews>
  <sheetFormatPr defaultColWidth="26.28515625" defaultRowHeight="14.45"/>
  <cols>
    <col min="1" max="1" width="21" style="52" customWidth="1"/>
    <col min="2" max="2" width="20.5703125" style="49" customWidth="1"/>
    <col min="3" max="3" width="43" style="49" customWidth="1"/>
    <col min="4" max="4" width="97" style="52" customWidth="1"/>
    <col min="5" max="5" width="18.28515625" style="52" customWidth="1"/>
    <col min="6" max="7" width="26.28515625" style="43"/>
    <col min="8" max="8" width="30.28515625" style="43" customWidth="1"/>
    <col min="9" max="9" width="26.28515625" style="43"/>
    <col min="10" max="10" width="32" style="43" customWidth="1"/>
    <col min="11" max="16384" width="26.28515625" style="43"/>
  </cols>
  <sheetData>
    <row r="1" spans="1:14" ht="18.600000000000001">
      <c r="A1" s="140" t="s">
        <v>45</v>
      </c>
      <c r="B1" s="141"/>
      <c r="C1" s="141"/>
      <c r="D1" s="141"/>
      <c r="E1" s="142"/>
      <c r="F1" s="143" t="s">
        <v>46</v>
      </c>
      <c r="G1" s="144"/>
      <c r="H1" s="144"/>
      <c r="I1" s="144"/>
      <c r="J1" s="144"/>
      <c r="K1" s="144"/>
      <c r="L1" s="144"/>
      <c r="M1" s="144"/>
      <c r="N1" s="144"/>
    </row>
    <row r="2" spans="1:14" ht="30.95">
      <c r="A2" s="44" t="s">
        <v>47</v>
      </c>
      <c r="B2" s="45" t="s">
        <v>48</v>
      </c>
      <c r="C2" s="45" t="s">
        <v>49</v>
      </c>
      <c r="D2" s="44" t="s">
        <v>50</v>
      </c>
      <c r="E2" s="44" t="s">
        <v>51</v>
      </c>
      <c r="F2" s="46" t="s">
        <v>52</v>
      </c>
      <c r="G2" s="46" t="s">
        <v>53</v>
      </c>
      <c r="H2" s="46" t="s">
        <v>54</v>
      </c>
      <c r="I2" s="46" t="s">
        <v>55</v>
      </c>
      <c r="J2" s="46" t="s">
        <v>56</v>
      </c>
      <c r="K2" s="46" t="s">
        <v>57</v>
      </c>
      <c r="L2" s="46" t="s">
        <v>58</v>
      </c>
      <c r="M2" s="46" t="s">
        <v>59</v>
      </c>
      <c r="N2" s="46" t="s">
        <v>60</v>
      </c>
    </row>
    <row r="3" spans="1:14" ht="15.6" hidden="1">
      <c r="A3" s="136" t="s">
        <v>61</v>
      </c>
      <c r="B3" s="138" t="s">
        <v>62</v>
      </c>
      <c r="C3" s="47" t="s">
        <v>63</v>
      </c>
      <c r="D3" s="48">
        <v>12</v>
      </c>
      <c r="E3" s="48" t="s">
        <v>64</v>
      </c>
      <c r="F3" s="49" t="s">
        <v>65</v>
      </c>
      <c r="G3" s="49" t="s">
        <v>66</v>
      </c>
      <c r="H3" s="49" t="s">
        <v>67</v>
      </c>
      <c r="I3" s="49" t="s">
        <v>21</v>
      </c>
      <c r="J3" s="49"/>
      <c r="K3" s="49" t="s">
        <v>68</v>
      </c>
      <c r="L3" s="49" t="s">
        <v>69</v>
      </c>
      <c r="M3" s="49" t="s">
        <v>70</v>
      </c>
      <c r="N3" s="49"/>
    </row>
    <row r="4" spans="1:14" ht="15.6" hidden="1">
      <c r="A4" s="136"/>
      <c r="B4" s="138"/>
      <c r="C4" s="47" t="s">
        <v>71</v>
      </c>
      <c r="D4" s="48">
        <v>50</v>
      </c>
      <c r="E4" s="48" t="s">
        <v>72</v>
      </c>
      <c r="F4" s="49" t="s">
        <v>73</v>
      </c>
      <c r="G4" s="49" t="s">
        <v>66</v>
      </c>
      <c r="H4" s="49" t="s">
        <v>67</v>
      </c>
      <c r="I4" s="49" t="s">
        <v>21</v>
      </c>
      <c r="J4" s="49"/>
      <c r="K4" s="49" t="s">
        <v>68</v>
      </c>
      <c r="L4" s="49" t="s">
        <v>74</v>
      </c>
      <c r="M4" s="49" t="s">
        <v>75</v>
      </c>
      <c r="N4" s="49"/>
    </row>
    <row r="5" spans="1:14" ht="15.6" hidden="1">
      <c r="A5" s="136"/>
      <c r="B5" s="138"/>
      <c r="C5" s="47" t="s">
        <v>76</v>
      </c>
      <c r="D5" s="48" t="s">
        <v>77</v>
      </c>
      <c r="E5" s="48"/>
      <c r="F5" s="49" t="s">
        <v>73</v>
      </c>
      <c r="G5" s="49" t="s">
        <v>66</v>
      </c>
      <c r="H5" s="49" t="s">
        <v>67</v>
      </c>
      <c r="I5" s="49" t="s">
        <v>21</v>
      </c>
      <c r="J5" s="49"/>
      <c r="K5" s="49" t="s">
        <v>68</v>
      </c>
      <c r="L5" s="49" t="s">
        <v>74</v>
      </c>
      <c r="M5" s="49" t="s">
        <v>75</v>
      </c>
      <c r="N5" s="49"/>
    </row>
    <row r="6" spans="1:14" ht="15.6" hidden="1">
      <c r="A6" s="136"/>
      <c r="B6" s="138"/>
      <c r="C6" s="47" t="s">
        <v>78</v>
      </c>
      <c r="D6" s="48" t="s">
        <v>77</v>
      </c>
      <c r="E6" s="48"/>
      <c r="F6" s="49" t="s">
        <v>73</v>
      </c>
      <c r="G6" s="49" t="s">
        <v>66</v>
      </c>
      <c r="H6" s="49" t="s">
        <v>67</v>
      </c>
      <c r="I6" s="49" t="s">
        <v>21</v>
      </c>
      <c r="J6" s="49"/>
      <c r="K6" s="49" t="s">
        <v>68</v>
      </c>
      <c r="L6" s="49" t="s">
        <v>74</v>
      </c>
      <c r="M6" s="49" t="s">
        <v>75</v>
      </c>
      <c r="N6" s="49"/>
    </row>
    <row r="7" spans="1:14" ht="87" hidden="1">
      <c r="A7" s="136"/>
      <c r="B7" s="138"/>
      <c r="C7" s="47" t="s">
        <v>79</v>
      </c>
      <c r="D7" s="48" t="s">
        <v>80</v>
      </c>
      <c r="E7" s="48"/>
      <c r="F7" s="50" t="s">
        <v>21</v>
      </c>
      <c r="G7" s="50"/>
      <c r="H7" s="50"/>
      <c r="I7" s="50" t="s">
        <v>21</v>
      </c>
      <c r="J7" s="50"/>
      <c r="K7" s="50" t="s">
        <v>81</v>
      </c>
      <c r="L7" s="51" t="s">
        <v>82</v>
      </c>
      <c r="M7" s="50" t="s">
        <v>83</v>
      </c>
      <c r="N7" s="49"/>
    </row>
    <row r="8" spans="1:14" ht="62.1" hidden="1">
      <c r="A8" s="136"/>
      <c r="B8" s="138"/>
      <c r="C8" s="47" t="s">
        <v>84</v>
      </c>
      <c r="D8" s="48" t="s">
        <v>85</v>
      </c>
      <c r="E8" s="48"/>
      <c r="F8" s="49" t="s">
        <v>73</v>
      </c>
      <c r="G8" s="49" t="s">
        <v>66</v>
      </c>
      <c r="H8" s="49" t="s">
        <v>86</v>
      </c>
      <c r="I8" s="49" t="s">
        <v>21</v>
      </c>
      <c r="J8" s="49"/>
      <c r="K8" s="49" t="s">
        <v>81</v>
      </c>
      <c r="L8" s="49" t="s">
        <v>87</v>
      </c>
      <c r="M8" s="49" t="s">
        <v>83</v>
      </c>
      <c r="N8" s="49"/>
    </row>
    <row r="9" spans="1:14" ht="62.1" hidden="1">
      <c r="A9" s="136"/>
      <c r="B9" s="138"/>
      <c r="C9" s="47" t="s">
        <v>88</v>
      </c>
      <c r="D9" s="48" t="s">
        <v>89</v>
      </c>
      <c r="E9" s="48"/>
      <c r="F9" s="49" t="s">
        <v>73</v>
      </c>
      <c r="G9" s="49" t="s">
        <v>66</v>
      </c>
      <c r="H9" s="49" t="s">
        <v>86</v>
      </c>
      <c r="I9" s="49" t="s">
        <v>21</v>
      </c>
      <c r="J9" s="49"/>
      <c r="K9" s="49" t="s">
        <v>81</v>
      </c>
      <c r="L9" s="49" t="s">
        <v>87</v>
      </c>
      <c r="M9" s="49" t="s">
        <v>83</v>
      </c>
      <c r="N9" s="49"/>
    </row>
    <row r="10" spans="1:14" ht="186" hidden="1">
      <c r="A10" s="136"/>
      <c r="B10" s="138"/>
      <c r="C10" s="47" t="s">
        <v>90</v>
      </c>
      <c r="D10" s="48" t="s">
        <v>91</v>
      </c>
      <c r="E10" s="48"/>
      <c r="F10" s="49" t="s">
        <v>73</v>
      </c>
      <c r="G10" s="49" t="s">
        <v>66</v>
      </c>
      <c r="H10" s="49" t="s">
        <v>86</v>
      </c>
      <c r="I10" s="49" t="s">
        <v>21</v>
      </c>
      <c r="J10" s="49"/>
      <c r="K10" s="49" t="s">
        <v>81</v>
      </c>
      <c r="L10" s="49" t="s">
        <v>87</v>
      </c>
      <c r="M10" s="49" t="s">
        <v>83</v>
      </c>
      <c r="N10" s="49"/>
    </row>
    <row r="11" spans="1:14" ht="77.45" hidden="1">
      <c r="A11" s="136"/>
      <c r="B11" s="47" t="s">
        <v>92</v>
      </c>
      <c r="C11" s="47" t="s">
        <v>92</v>
      </c>
      <c r="D11" s="48" t="s">
        <v>93</v>
      </c>
      <c r="E11" s="48"/>
      <c r="F11" s="49" t="s">
        <v>21</v>
      </c>
      <c r="G11" s="49"/>
      <c r="H11" s="49"/>
      <c r="I11" s="49" t="s">
        <v>21</v>
      </c>
      <c r="J11" s="49"/>
      <c r="K11" s="49" t="s">
        <v>94</v>
      </c>
      <c r="L11" s="49"/>
      <c r="M11" s="49"/>
      <c r="N11" s="49"/>
    </row>
    <row r="12" spans="1:14" ht="31.5" hidden="1" customHeight="1">
      <c r="A12" s="136" t="s">
        <v>95</v>
      </c>
      <c r="B12" s="138" t="s">
        <v>96</v>
      </c>
      <c r="C12" s="47" t="s">
        <v>97</v>
      </c>
      <c r="D12" s="48">
        <v>380</v>
      </c>
      <c r="E12" s="48" t="s">
        <v>98</v>
      </c>
      <c r="F12" s="49" t="s">
        <v>73</v>
      </c>
      <c r="G12" s="49" t="s">
        <v>99</v>
      </c>
      <c r="H12" s="49" t="s">
        <v>100</v>
      </c>
      <c r="I12" s="49" t="s">
        <v>21</v>
      </c>
      <c r="J12" s="49"/>
      <c r="K12" s="49" t="s">
        <v>68</v>
      </c>
      <c r="L12" s="49" t="s">
        <v>69</v>
      </c>
      <c r="M12" s="49" t="s">
        <v>70</v>
      </c>
      <c r="N12" s="49"/>
    </row>
    <row r="13" spans="1:14" ht="31.5" hidden="1" customHeight="1">
      <c r="A13" s="136"/>
      <c r="B13" s="138"/>
      <c r="C13" s="47" t="s">
        <v>101</v>
      </c>
      <c r="D13" s="48">
        <v>18</v>
      </c>
      <c r="E13" s="48" t="s">
        <v>102</v>
      </c>
      <c r="F13" s="49" t="s">
        <v>73</v>
      </c>
      <c r="G13" s="49" t="s">
        <v>99</v>
      </c>
      <c r="H13" s="49" t="s">
        <v>100</v>
      </c>
      <c r="I13" s="49" t="s">
        <v>21</v>
      </c>
      <c r="J13" s="49"/>
      <c r="K13" s="49" t="s">
        <v>68</v>
      </c>
      <c r="L13" s="49" t="s">
        <v>69</v>
      </c>
      <c r="M13" s="49" t="s">
        <v>70</v>
      </c>
      <c r="N13" s="49"/>
    </row>
    <row r="14" spans="1:14" ht="31.5" hidden="1" customHeight="1">
      <c r="A14" s="136"/>
      <c r="B14" s="138"/>
      <c r="C14" s="47" t="s">
        <v>103</v>
      </c>
      <c r="D14" s="48">
        <v>4</v>
      </c>
      <c r="E14" s="48" t="s">
        <v>104</v>
      </c>
      <c r="F14" s="49" t="s">
        <v>73</v>
      </c>
      <c r="G14" s="49" t="s">
        <v>99</v>
      </c>
      <c r="H14" s="49" t="s">
        <v>100</v>
      </c>
      <c r="I14" s="49" t="s">
        <v>21</v>
      </c>
      <c r="J14" s="49"/>
      <c r="K14" s="49" t="s">
        <v>68</v>
      </c>
      <c r="L14" s="49" t="s">
        <v>69</v>
      </c>
      <c r="M14" s="49" t="s">
        <v>70</v>
      </c>
      <c r="N14" s="49"/>
    </row>
    <row r="15" spans="1:14" ht="46.5" hidden="1">
      <c r="A15" s="136"/>
      <c r="B15" s="138"/>
      <c r="C15" s="47" t="s">
        <v>105</v>
      </c>
      <c r="D15" s="48" t="s">
        <v>106</v>
      </c>
      <c r="E15" s="48"/>
      <c r="F15" s="50" t="s">
        <v>21</v>
      </c>
      <c r="G15" s="50"/>
      <c r="H15" s="50"/>
      <c r="I15" s="50" t="s">
        <v>21</v>
      </c>
      <c r="J15" s="50"/>
      <c r="K15" s="50" t="s">
        <v>94</v>
      </c>
      <c r="L15" s="50"/>
      <c r="M15" s="50"/>
      <c r="N15" s="49"/>
    </row>
    <row r="16" spans="1:14" ht="46.5" hidden="1">
      <c r="A16" s="136"/>
      <c r="B16" s="138"/>
      <c r="C16" s="47" t="s">
        <v>107</v>
      </c>
      <c r="D16" s="48" t="s">
        <v>108</v>
      </c>
      <c r="E16" s="48"/>
      <c r="F16" s="49" t="s">
        <v>21</v>
      </c>
      <c r="G16" s="49"/>
      <c r="H16" s="49"/>
      <c r="I16" s="49" t="s">
        <v>21</v>
      </c>
      <c r="J16" s="49"/>
      <c r="K16" s="49" t="s">
        <v>94</v>
      </c>
      <c r="L16" s="49"/>
      <c r="M16" s="49"/>
      <c r="N16" s="49"/>
    </row>
    <row r="17" spans="1:14" ht="46.5" hidden="1">
      <c r="A17" s="136"/>
      <c r="B17" s="138"/>
      <c r="C17" s="47" t="s">
        <v>109</v>
      </c>
      <c r="D17" s="48" t="s">
        <v>110</v>
      </c>
      <c r="E17" s="48"/>
      <c r="F17" s="49" t="s">
        <v>21</v>
      </c>
      <c r="G17" s="49"/>
      <c r="H17" s="49"/>
      <c r="I17" s="49" t="s">
        <v>21</v>
      </c>
      <c r="J17" s="49"/>
      <c r="K17" s="49" t="s">
        <v>94</v>
      </c>
      <c r="L17" s="49"/>
      <c r="M17" s="49"/>
      <c r="N17" s="49"/>
    </row>
    <row r="18" spans="1:14" ht="30.95" hidden="1">
      <c r="A18" s="136"/>
      <c r="B18" s="138"/>
      <c r="C18" s="47" t="s">
        <v>111</v>
      </c>
      <c r="D18" s="48" t="s">
        <v>112</v>
      </c>
      <c r="E18" s="48"/>
      <c r="F18" s="49" t="s">
        <v>21</v>
      </c>
      <c r="G18" s="49"/>
      <c r="H18" s="49"/>
      <c r="I18" s="49" t="s">
        <v>21</v>
      </c>
      <c r="J18" s="49"/>
      <c r="K18" s="49" t="s">
        <v>94</v>
      </c>
      <c r="L18" s="49"/>
      <c r="M18" s="49"/>
      <c r="N18" s="49"/>
    </row>
    <row r="19" spans="1:14" ht="46.5" hidden="1">
      <c r="A19" s="136"/>
      <c r="B19" s="138"/>
      <c r="C19" s="47" t="s">
        <v>113</v>
      </c>
      <c r="D19" s="48" t="s">
        <v>114</v>
      </c>
      <c r="E19" s="48"/>
      <c r="F19" s="49" t="s">
        <v>21</v>
      </c>
      <c r="G19" s="49"/>
      <c r="H19" s="49"/>
      <c r="I19" s="49" t="s">
        <v>21</v>
      </c>
      <c r="J19" s="49"/>
      <c r="K19" s="49" t="s">
        <v>94</v>
      </c>
      <c r="L19" s="49"/>
      <c r="M19" s="49"/>
      <c r="N19" s="49"/>
    </row>
    <row r="20" spans="1:14" ht="46.5" hidden="1">
      <c r="A20" s="136"/>
      <c r="B20" s="138"/>
      <c r="C20" s="47" t="s">
        <v>115</v>
      </c>
      <c r="D20" s="48" t="s">
        <v>116</v>
      </c>
      <c r="E20" s="48"/>
      <c r="F20" s="49" t="s">
        <v>73</v>
      </c>
      <c r="G20" s="49" t="s">
        <v>99</v>
      </c>
      <c r="H20" s="49" t="s">
        <v>117</v>
      </c>
      <c r="I20" s="49" t="s">
        <v>21</v>
      </c>
      <c r="J20" s="49"/>
      <c r="K20" s="49" t="s">
        <v>81</v>
      </c>
      <c r="L20" s="49" t="s">
        <v>87</v>
      </c>
      <c r="M20" s="49" t="s">
        <v>83</v>
      </c>
      <c r="N20" s="49"/>
    </row>
    <row r="21" spans="1:14" ht="77.45" hidden="1">
      <c r="A21" s="136"/>
      <c r="B21" s="138"/>
      <c r="C21" s="47" t="s">
        <v>118</v>
      </c>
      <c r="D21" s="48" t="s">
        <v>119</v>
      </c>
      <c r="E21" s="48"/>
      <c r="F21" s="49" t="s">
        <v>73</v>
      </c>
      <c r="G21" s="49" t="s">
        <v>99</v>
      </c>
      <c r="H21" s="49" t="s">
        <v>117</v>
      </c>
      <c r="I21" s="49" t="s">
        <v>21</v>
      </c>
      <c r="J21" s="49"/>
      <c r="K21" s="49" t="s">
        <v>81</v>
      </c>
      <c r="L21" s="49" t="s">
        <v>87</v>
      </c>
      <c r="M21" s="49" t="s">
        <v>83</v>
      </c>
      <c r="N21" s="49"/>
    </row>
    <row r="22" spans="1:14" ht="77.45" hidden="1">
      <c r="A22" s="136"/>
      <c r="B22" s="138"/>
      <c r="C22" s="47" t="s">
        <v>120</v>
      </c>
      <c r="D22" s="48" t="s">
        <v>121</v>
      </c>
      <c r="E22" s="48"/>
      <c r="F22" s="49" t="s">
        <v>21</v>
      </c>
      <c r="G22" s="49"/>
      <c r="H22" s="49"/>
      <c r="I22" s="49" t="s">
        <v>21</v>
      </c>
      <c r="J22" s="49"/>
      <c r="K22" s="49" t="s">
        <v>81</v>
      </c>
      <c r="L22" s="49" t="s">
        <v>87</v>
      </c>
      <c r="M22" s="49" t="s">
        <v>83</v>
      </c>
      <c r="N22" s="49"/>
    </row>
    <row r="23" spans="1:14" ht="139.5" hidden="1">
      <c r="A23" s="136"/>
      <c r="B23" s="138" t="s">
        <v>122</v>
      </c>
      <c r="C23" s="47" t="s">
        <v>123</v>
      </c>
      <c r="D23" s="48" t="s">
        <v>124</v>
      </c>
      <c r="E23" s="48"/>
      <c r="F23" s="49" t="s">
        <v>21</v>
      </c>
      <c r="G23" s="49"/>
      <c r="H23" s="49"/>
      <c r="I23" s="49" t="s">
        <v>21</v>
      </c>
      <c r="J23" s="49"/>
      <c r="K23" s="49" t="s">
        <v>81</v>
      </c>
      <c r="L23" s="49" t="s">
        <v>87</v>
      </c>
      <c r="M23" s="49" t="s">
        <v>83</v>
      </c>
      <c r="N23" s="49"/>
    </row>
    <row r="24" spans="1:14" ht="155.1" hidden="1">
      <c r="A24" s="136"/>
      <c r="B24" s="138"/>
      <c r="C24" s="47" t="s">
        <v>125</v>
      </c>
      <c r="D24" s="48" t="s">
        <v>126</v>
      </c>
      <c r="E24" s="48"/>
      <c r="F24" s="49" t="s">
        <v>65</v>
      </c>
      <c r="G24" s="49" t="s">
        <v>99</v>
      </c>
      <c r="H24" s="49" t="s">
        <v>117</v>
      </c>
      <c r="I24" s="49" t="s">
        <v>21</v>
      </c>
      <c r="J24" s="49"/>
      <c r="K24" s="49" t="s">
        <v>81</v>
      </c>
      <c r="L24" s="49" t="s">
        <v>87</v>
      </c>
      <c r="M24" s="49" t="s">
        <v>83</v>
      </c>
      <c r="N24" s="49"/>
    </row>
    <row r="25" spans="1:14" ht="139.5" hidden="1">
      <c r="A25" s="136"/>
      <c r="B25" s="138"/>
      <c r="C25" s="47" t="s">
        <v>127</v>
      </c>
      <c r="D25" s="48" t="s">
        <v>128</v>
      </c>
      <c r="E25" s="48"/>
      <c r="F25" s="49" t="s">
        <v>21</v>
      </c>
      <c r="G25" s="49"/>
      <c r="H25" s="49"/>
      <c r="I25" s="49" t="s">
        <v>21</v>
      </c>
      <c r="J25" s="49"/>
      <c r="K25" s="49" t="s">
        <v>81</v>
      </c>
      <c r="L25" s="49" t="s">
        <v>87</v>
      </c>
      <c r="M25" s="49" t="s">
        <v>83</v>
      </c>
      <c r="N25" s="49"/>
    </row>
    <row r="26" spans="1:14" ht="123.95" hidden="1">
      <c r="A26" s="136"/>
      <c r="B26" s="138"/>
      <c r="C26" s="47" t="s">
        <v>129</v>
      </c>
      <c r="D26" s="48" t="s">
        <v>130</v>
      </c>
      <c r="E26" s="48"/>
      <c r="F26" s="49" t="s">
        <v>21</v>
      </c>
      <c r="G26" s="49"/>
      <c r="H26" s="49"/>
      <c r="I26" s="49" t="s">
        <v>21</v>
      </c>
      <c r="J26" s="49"/>
      <c r="K26" s="49" t="s">
        <v>81</v>
      </c>
      <c r="L26" s="49" t="s">
        <v>87</v>
      </c>
      <c r="M26" s="49" t="s">
        <v>83</v>
      </c>
      <c r="N26" s="49"/>
    </row>
    <row r="27" spans="1:14" ht="201.6" hidden="1">
      <c r="A27" s="136"/>
      <c r="B27" s="138"/>
      <c r="C27" s="47" t="s">
        <v>131</v>
      </c>
      <c r="D27" s="48" t="s">
        <v>132</v>
      </c>
      <c r="E27" s="48"/>
      <c r="F27" s="49" t="s">
        <v>73</v>
      </c>
      <c r="G27" s="49" t="s">
        <v>99</v>
      </c>
      <c r="H27" s="49" t="s">
        <v>117</v>
      </c>
      <c r="I27" s="49" t="s">
        <v>21</v>
      </c>
      <c r="J27" s="49"/>
      <c r="K27" s="49" t="s">
        <v>81</v>
      </c>
      <c r="L27" s="49" t="s">
        <v>87</v>
      </c>
      <c r="M27" s="49" t="s">
        <v>83</v>
      </c>
      <c r="N27" s="49"/>
    </row>
    <row r="28" spans="1:14" ht="46.5" hidden="1">
      <c r="A28" s="136" t="s">
        <v>133</v>
      </c>
      <c r="B28" s="47" t="s">
        <v>134</v>
      </c>
      <c r="C28" s="47" t="s">
        <v>135</v>
      </c>
      <c r="D28" s="48" t="s">
        <v>136</v>
      </c>
      <c r="E28" s="48"/>
      <c r="F28" s="49" t="s">
        <v>21</v>
      </c>
      <c r="G28" s="49"/>
      <c r="H28" s="49"/>
      <c r="I28" s="49" t="s">
        <v>21</v>
      </c>
      <c r="J28" s="49"/>
      <c r="K28" s="49" t="s">
        <v>81</v>
      </c>
      <c r="L28" s="49" t="s">
        <v>87</v>
      </c>
      <c r="M28" s="49" t="s">
        <v>83</v>
      </c>
      <c r="N28" s="49"/>
    </row>
    <row r="29" spans="1:14" ht="30.95" hidden="1">
      <c r="A29" s="136"/>
      <c r="B29" s="47" t="s">
        <v>137</v>
      </c>
      <c r="C29" s="47" t="s">
        <v>135</v>
      </c>
      <c r="D29" s="48" t="s">
        <v>138</v>
      </c>
      <c r="E29" s="48"/>
      <c r="F29" s="49" t="s">
        <v>21</v>
      </c>
      <c r="G29" s="49"/>
      <c r="H29" s="49"/>
      <c r="I29" s="49" t="s">
        <v>21</v>
      </c>
      <c r="J29" s="49"/>
      <c r="K29" s="49" t="s">
        <v>94</v>
      </c>
      <c r="L29" s="49"/>
      <c r="M29" s="49"/>
      <c r="N29" s="49"/>
    </row>
    <row r="30" spans="1:14" ht="30.95" hidden="1">
      <c r="A30" s="136"/>
      <c r="B30" s="47" t="s">
        <v>139</v>
      </c>
      <c r="C30" s="47" t="s">
        <v>135</v>
      </c>
      <c r="D30" s="48" t="s">
        <v>140</v>
      </c>
      <c r="E30" s="48"/>
      <c r="F30" s="49" t="s">
        <v>21</v>
      </c>
      <c r="G30" s="49"/>
      <c r="H30" s="49"/>
      <c r="I30" s="49" t="s">
        <v>21</v>
      </c>
      <c r="J30" s="49"/>
      <c r="K30" s="49" t="s">
        <v>81</v>
      </c>
      <c r="L30" s="49" t="s">
        <v>87</v>
      </c>
      <c r="M30" s="49" t="s">
        <v>83</v>
      </c>
      <c r="N30" s="49"/>
    </row>
    <row r="31" spans="1:14" ht="15.6">
      <c r="A31" s="136" t="s">
        <v>141</v>
      </c>
      <c r="B31" s="47" t="s">
        <v>141</v>
      </c>
      <c r="C31" s="47" t="s">
        <v>142</v>
      </c>
      <c r="D31" s="48" t="s">
        <v>143</v>
      </c>
      <c r="E31" s="48"/>
      <c r="F31" s="49" t="s">
        <v>21</v>
      </c>
      <c r="G31" s="49"/>
      <c r="H31" s="49"/>
      <c r="I31" s="49" t="s">
        <v>73</v>
      </c>
      <c r="J31" s="49" t="s">
        <v>144</v>
      </c>
      <c r="K31" s="49" t="s">
        <v>68</v>
      </c>
      <c r="L31" s="49"/>
      <c r="M31" s="49"/>
      <c r="N31" s="49"/>
    </row>
    <row r="32" spans="1:14" ht="62.1" hidden="1">
      <c r="A32" s="136"/>
      <c r="B32" s="138" t="s">
        <v>145</v>
      </c>
      <c r="C32" s="47" t="s">
        <v>146</v>
      </c>
      <c r="D32" s="48" t="s">
        <v>147</v>
      </c>
      <c r="E32" s="48"/>
      <c r="F32" s="50" t="s">
        <v>21</v>
      </c>
      <c r="G32" s="50"/>
      <c r="H32" s="50"/>
      <c r="I32" s="50" t="s">
        <v>21</v>
      </c>
      <c r="J32" s="50"/>
      <c r="K32" s="50" t="s">
        <v>94</v>
      </c>
      <c r="L32" s="50"/>
      <c r="M32" s="50"/>
      <c r="N32" s="49"/>
    </row>
    <row r="33" spans="1:14" ht="62.1" hidden="1">
      <c r="A33" s="136"/>
      <c r="B33" s="138"/>
      <c r="C33" s="47" t="s">
        <v>148</v>
      </c>
      <c r="D33" s="48" t="s">
        <v>149</v>
      </c>
      <c r="E33" s="48"/>
      <c r="F33" s="49" t="s">
        <v>21</v>
      </c>
      <c r="G33" s="49"/>
      <c r="H33" s="49"/>
      <c r="I33" s="49" t="s">
        <v>21</v>
      </c>
      <c r="J33" s="49"/>
      <c r="K33" s="49"/>
      <c r="L33" s="49"/>
      <c r="M33" s="49"/>
      <c r="N33" s="49"/>
    </row>
    <row r="34" spans="1:14" ht="62.1" hidden="1">
      <c r="A34" s="136"/>
      <c r="B34" s="138"/>
      <c r="C34" s="47" t="s">
        <v>150</v>
      </c>
      <c r="D34" s="48" t="s">
        <v>151</v>
      </c>
      <c r="E34" s="48"/>
      <c r="F34" s="49" t="s">
        <v>21</v>
      </c>
      <c r="G34" s="49"/>
      <c r="H34" s="49"/>
      <c r="I34" s="49" t="s">
        <v>21</v>
      </c>
      <c r="J34" s="49"/>
      <c r="K34" s="49" t="s">
        <v>152</v>
      </c>
      <c r="L34" s="52" t="s">
        <v>153</v>
      </c>
      <c r="M34" s="49" t="s">
        <v>154</v>
      </c>
      <c r="N34" s="49"/>
    </row>
    <row r="35" spans="1:14" ht="62.1" hidden="1">
      <c r="A35" s="136"/>
      <c r="B35" s="138"/>
      <c r="C35" s="47" t="s">
        <v>155</v>
      </c>
      <c r="D35" s="48" t="s">
        <v>156</v>
      </c>
      <c r="E35" s="48"/>
      <c r="F35" s="49" t="s">
        <v>73</v>
      </c>
      <c r="G35" s="49" t="s">
        <v>99</v>
      </c>
      <c r="H35" s="49" t="s">
        <v>117</v>
      </c>
      <c r="I35" s="49" t="s">
        <v>21</v>
      </c>
      <c r="J35" s="49"/>
      <c r="K35" s="49" t="s">
        <v>68</v>
      </c>
      <c r="L35" s="52" t="s">
        <v>157</v>
      </c>
      <c r="M35" s="49" t="s">
        <v>154</v>
      </c>
      <c r="N35" s="49"/>
    </row>
    <row r="36" spans="1:14" ht="62.1" hidden="1">
      <c r="A36" s="136"/>
      <c r="B36" s="138"/>
      <c r="C36" s="47" t="s">
        <v>158</v>
      </c>
      <c r="D36" s="48" t="s">
        <v>159</v>
      </c>
      <c r="E36" s="48"/>
      <c r="F36" s="49" t="s">
        <v>73</v>
      </c>
      <c r="G36" s="49" t="s">
        <v>99</v>
      </c>
      <c r="H36" s="49" t="s">
        <v>117</v>
      </c>
      <c r="I36" s="49" t="s">
        <v>21</v>
      </c>
      <c r="J36" s="49"/>
      <c r="K36" s="49" t="s">
        <v>68</v>
      </c>
      <c r="L36" s="52" t="s">
        <v>157</v>
      </c>
      <c r="M36" s="49" t="s">
        <v>154</v>
      </c>
      <c r="N36" s="49"/>
    </row>
    <row r="37" spans="1:14" ht="62.1" hidden="1">
      <c r="A37" s="136"/>
      <c r="B37" s="138"/>
      <c r="C37" s="47" t="s">
        <v>160</v>
      </c>
      <c r="D37" s="48" t="s">
        <v>161</v>
      </c>
      <c r="E37" s="48"/>
      <c r="F37" s="49" t="s">
        <v>73</v>
      </c>
      <c r="G37" s="49" t="s">
        <v>99</v>
      </c>
      <c r="H37" s="49" t="s">
        <v>117</v>
      </c>
      <c r="I37" s="49" t="s">
        <v>21</v>
      </c>
      <c r="J37" s="49"/>
      <c r="K37" s="49" t="s">
        <v>68</v>
      </c>
      <c r="L37" s="52" t="s">
        <v>157</v>
      </c>
      <c r="M37" s="49" t="s">
        <v>154</v>
      </c>
      <c r="N37" s="49"/>
    </row>
    <row r="38" spans="1:14" ht="30.95" hidden="1">
      <c r="A38" s="136"/>
      <c r="B38" s="138" t="s">
        <v>162</v>
      </c>
      <c r="C38" s="47" t="s">
        <v>163</v>
      </c>
      <c r="D38" s="48" t="s">
        <v>164</v>
      </c>
      <c r="E38" s="48"/>
      <c r="F38" s="50" t="s">
        <v>21</v>
      </c>
      <c r="G38" s="50"/>
      <c r="H38" s="50"/>
      <c r="I38" s="50" t="s">
        <v>21</v>
      </c>
      <c r="J38" s="50"/>
      <c r="K38" s="50" t="s">
        <v>94</v>
      </c>
      <c r="L38" s="50"/>
      <c r="M38" s="50"/>
      <c r="N38" s="49"/>
    </row>
    <row r="39" spans="1:14" ht="46.5" hidden="1">
      <c r="A39" s="136"/>
      <c r="B39" s="138"/>
      <c r="C39" s="47" t="s">
        <v>165</v>
      </c>
      <c r="D39" s="48" t="s">
        <v>166</v>
      </c>
      <c r="E39" s="48"/>
      <c r="F39" s="49" t="s">
        <v>21</v>
      </c>
      <c r="G39" s="49"/>
      <c r="H39" s="49"/>
      <c r="I39" s="49" t="s">
        <v>21</v>
      </c>
      <c r="J39" s="49"/>
      <c r="K39" s="49" t="s">
        <v>94</v>
      </c>
      <c r="L39" s="49"/>
      <c r="M39" s="49"/>
      <c r="N39" s="49"/>
    </row>
    <row r="40" spans="1:14" ht="62.1" hidden="1">
      <c r="A40" s="136"/>
      <c r="B40" s="138"/>
      <c r="C40" s="47" t="s">
        <v>167</v>
      </c>
      <c r="D40" s="48" t="s">
        <v>168</v>
      </c>
      <c r="E40" s="48"/>
      <c r="F40" s="49" t="s">
        <v>21</v>
      </c>
      <c r="G40" s="49"/>
      <c r="H40" s="49"/>
      <c r="I40" s="49" t="s">
        <v>21</v>
      </c>
      <c r="J40" s="49"/>
      <c r="K40" s="49" t="s">
        <v>94</v>
      </c>
      <c r="L40" s="49"/>
      <c r="M40" s="49"/>
      <c r="N40" s="49"/>
    </row>
    <row r="41" spans="1:14" ht="62.1" hidden="1">
      <c r="A41" s="136"/>
      <c r="B41" s="138"/>
      <c r="C41" s="47" t="s">
        <v>169</v>
      </c>
      <c r="D41" s="48" t="s">
        <v>170</v>
      </c>
      <c r="E41" s="48"/>
      <c r="F41" s="49" t="s">
        <v>21</v>
      </c>
      <c r="G41" s="49"/>
      <c r="H41" s="49"/>
      <c r="I41" s="49" t="s">
        <v>21</v>
      </c>
      <c r="J41" s="49"/>
      <c r="K41" s="49" t="s">
        <v>94</v>
      </c>
      <c r="L41" s="49"/>
      <c r="M41" s="49"/>
      <c r="N41" s="49"/>
    </row>
    <row r="42" spans="1:14" ht="46.5" hidden="1">
      <c r="A42" s="136"/>
      <c r="B42" s="138" t="s">
        <v>171</v>
      </c>
      <c r="C42" s="47" t="s">
        <v>172</v>
      </c>
      <c r="D42" s="48" t="s">
        <v>173</v>
      </c>
      <c r="E42" s="48"/>
      <c r="F42" s="49" t="s">
        <v>73</v>
      </c>
      <c r="G42" s="49" t="s">
        <v>99</v>
      </c>
      <c r="H42" s="49" t="s">
        <v>117</v>
      </c>
      <c r="I42" s="49" t="s">
        <v>21</v>
      </c>
      <c r="J42" s="49"/>
      <c r="K42" s="49" t="s">
        <v>94</v>
      </c>
      <c r="L42" s="49"/>
      <c r="M42" s="49"/>
      <c r="N42" s="49"/>
    </row>
    <row r="43" spans="1:14" ht="46.5" hidden="1">
      <c r="A43" s="136"/>
      <c r="B43" s="138"/>
      <c r="C43" s="47" t="s">
        <v>174</v>
      </c>
      <c r="D43" s="48" t="s">
        <v>175</v>
      </c>
      <c r="E43" s="48"/>
      <c r="F43" s="49" t="s">
        <v>21</v>
      </c>
      <c r="G43" s="49"/>
      <c r="H43" s="49"/>
      <c r="I43" s="49" t="s">
        <v>21</v>
      </c>
      <c r="J43" s="49"/>
      <c r="K43" s="49" t="s">
        <v>94</v>
      </c>
      <c r="L43" s="49"/>
      <c r="M43" s="49"/>
      <c r="N43" s="49"/>
    </row>
    <row r="44" spans="1:14" ht="46.5" hidden="1">
      <c r="A44" s="136"/>
      <c r="B44" s="138"/>
      <c r="C44" s="47" t="s">
        <v>176</v>
      </c>
      <c r="D44" s="48" t="s">
        <v>177</v>
      </c>
      <c r="E44" s="48"/>
      <c r="F44" s="49" t="s">
        <v>21</v>
      </c>
      <c r="G44" s="49"/>
      <c r="H44" s="49"/>
      <c r="I44" s="49" t="s">
        <v>21</v>
      </c>
      <c r="J44" s="49"/>
      <c r="K44" s="49" t="s">
        <v>94</v>
      </c>
      <c r="L44" s="49"/>
      <c r="M44" s="49"/>
      <c r="N44" s="49"/>
    </row>
    <row r="45" spans="1:14" ht="46.5" hidden="1">
      <c r="A45" s="136"/>
      <c r="B45" s="138"/>
      <c r="C45" s="47" t="s">
        <v>178</v>
      </c>
      <c r="D45" s="48" t="s">
        <v>179</v>
      </c>
      <c r="E45" s="48"/>
      <c r="F45" s="49" t="s">
        <v>21</v>
      </c>
      <c r="G45" s="49"/>
      <c r="H45" s="49"/>
      <c r="I45" s="49" t="s">
        <v>21</v>
      </c>
      <c r="J45" s="49"/>
      <c r="K45" s="49" t="s">
        <v>94</v>
      </c>
      <c r="L45" s="49"/>
      <c r="M45" s="49"/>
      <c r="N45" s="49"/>
    </row>
    <row r="46" spans="1:14" ht="46.5" hidden="1">
      <c r="A46" s="136"/>
      <c r="B46" s="138"/>
      <c r="C46" s="47" t="s">
        <v>180</v>
      </c>
      <c r="D46" s="48" t="s">
        <v>181</v>
      </c>
      <c r="E46" s="48"/>
      <c r="F46" s="49" t="s">
        <v>21</v>
      </c>
      <c r="G46" s="49"/>
      <c r="H46" s="49"/>
      <c r="I46" s="49" t="s">
        <v>21</v>
      </c>
      <c r="J46" s="49"/>
      <c r="K46" s="49" t="s">
        <v>94</v>
      </c>
      <c r="L46" s="49"/>
      <c r="M46" s="49"/>
      <c r="N46" s="49"/>
    </row>
    <row r="47" spans="1:14" ht="155.1">
      <c r="A47" s="136" t="s">
        <v>182</v>
      </c>
      <c r="B47" s="138" t="s">
        <v>163</v>
      </c>
      <c r="C47" s="47" t="s">
        <v>183</v>
      </c>
      <c r="D47" s="48" t="s">
        <v>184</v>
      </c>
      <c r="E47" s="48"/>
      <c r="F47" s="49" t="s">
        <v>21</v>
      </c>
      <c r="G47" s="49"/>
      <c r="H47" s="49"/>
      <c r="I47" s="49" t="s">
        <v>73</v>
      </c>
      <c r="J47" s="49" t="s">
        <v>185</v>
      </c>
      <c r="K47" s="49" t="s">
        <v>68</v>
      </c>
      <c r="L47" s="49" t="s">
        <v>186</v>
      </c>
      <c r="M47" s="49"/>
      <c r="N47" s="49"/>
    </row>
    <row r="48" spans="1:14" ht="93">
      <c r="A48" s="136"/>
      <c r="B48" s="138"/>
      <c r="C48" s="47" t="s">
        <v>187</v>
      </c>
      <c r="D48" s="48" t="s">
        <v>188</v>
      </c>
      <c r="E48" s="48"/>
      <c r="F48" s="49" t="s">
        <v>21</v>
      </c>
      <c r="G48" s="49"/>
      <c r="H48" s="49"/>
      <c r="I48" s="49" t="s">
        <v>73</v>
      </c>
      <c r="J48" s="49" t="s">
        <v>185</v>
      </c>
      <c r="K48" s="49" t="s">
        <v>68</v>
      </c>
      <c r="L48" s="49" t="s">
        <v>186</v>
      </c>
      <c r="M48" s="49"/>
      <c r="N48" s="49"/>
    </row>
    <row r="49" spans="1:14" ht="216.95">
      <c r="A49" s="136"/>
      <c r="B49" s="138"/>
      <c r="C49" s="47" t="s">
        <v>189</v>
      </c>
      <c r="D49" s="48" t="s">
        <v>190</v>
      </c>
      <c r="E49" s="48"/>
      <c r="F49" s="49" t="s">
        <v>21</v>
      </c>
      <c r="G49" s="49"/>
      <c r="H49" s="49"/>
      <c r="I49" s="49" t="s">
        <v>73</v>
      </c>
      <c r="J49" s="49" t="s">
        <v>185</v>
      </c>
      <c r="K49" s="49" t="s">
        <v>68</v>
      </c>
      <c r="L49" s="49" t="s">
        <v>186</v>
      </c>
      <c r="M49" s="49"/>
      <c r="N49" s="49"/>
    </row>
    <row r="50" spans="1:14" ht="123.95">
      <c r="A50" s="136"/>
      <c r="B50" s="138"/>
      <c r="C50" s="47" t="s">
        <v>191</v>
      </c>
      <c r="D50" s="48" t="s">
        <v>192</v>
      </c>
      <c r="E50" s="48"/>
      <c r="F50" s="49" t="s">
        <v>21</v>
      </c>
      <c r="G50" s="49"/>
      <c r="H50" s="49"/>
      <c r="I50" s="49" t="s">
        <v>73</v>
      </c>
      <c r="J50" s="49" t="s">
        <v>185</v>
      </c>
      <c r="K50" s="49" t="s">
        <v>68</v>
      </c>
      <c r="L50" s="49" t="s">
        <v>186</v>
      </c>
      <c r="M50" s="49"/>
      <c r="N50" s="49"/>
    </row>
    <row r="51" spans="1:14" ht="123.95" hidden="1">
      <c r="A51" s="136"/>
      <c r="B51" s="138"/>
      <c r="C51" s="47" t="s">
        <v>193</v>
      </c>
      <c r="D51" s="48" t="s">
        <v>194</v>
      </c>
      <c r="E51" s="48"/>
      <c r="F51" s="49" t="s">
        <v>21</v>
      </c>
      <c r="G51" s="49"/>
      <c r="H51" s="49"/>
      <c r="I51" s="49" t="s">
        <v>21</v>
      </c>
      <c r="J51" s="49"/>
      <c r="K51" s="49" t="s">
        <v>68</v>
      </c>
      <c r="L51" s="49" t="s">
        <v>186</v>
      </c>
      <c r="M51" s="49"/>
      <c r="N51" s="49"/>
    </row>
    <row r="52" spans="1:14" ht="46.5">
      <c r="A52" s="136"/>
      <c r="B52" s="138"/>
      <c r="C52" s="47" t="s">
        <v>195</v>
      </c>
      <c r="D52" s="48" t="s">
        <v>196</v>
      </c>
      <c r="E52" s="48"/>
      <c r="F52" s="49" t="s">
        <v>21</v>
      </c>
      <c r="G52" s="49"/>
      <c r="H52" s="49"/>
      <c r="I52" s="49" t="s">
        <v>73</v>
      </c>
      <c r="J52" s="52" t="s">
        <v>22</v>
      </c>
      <c r="K52" s="49" t="s">
        <v>68</v>
      </c>
      <c r="L52" s="49" t="s">
        <v>186</v>
      </c>
      <c r="M52" s="49"/>
      <c r="N52" s="49"/>
    </row>
    <row r="53" spans="1:14" ht="46.5" hidden="1">
      <c r="A53" s="136"/>
      <c r="B53" s="138" t="s">
        <v>197</v>
      </c>
      <c r="C53" s="47" t="s">
        <v>198</v>
      </c>
      <c r="D53" s="48" t="s">
        <v>199</v>
      </c>
      <c r="E53" s="48"/>
      <c r="F53" s="49" t="s">
        <v>73</v>
      </c>
      <c r="G53" s="49" t="s">
        <v>99</v>
      </c>
      <c r="H53" s="49" t="s">
        <v>117</v>
      </c>
      <c r="I53" s="49" t="s">
        <v>21</v>
      </c>
      <c r="J53" s="49"/>
      <c r="K53" s="49" t="s">
        <v>68</v>
      </c>
      <c r="L53" s="52" t="s">
        <v>157</v>
      </c>
      <c r="M53" s="49" t="s">
        <v>154</v>
      </c>
      <c r="N53" s="49"/>
    </row>
    <row r="54" spans="1:14" ht="62.1" hidden="1">
      <c r="A54" s="136"/>
      <c r="B54" s="138"/>
      <c r="C54" s="47" t="s">
        <v>200</v>
      </c>
      <c r="D54" s="48" t="s">
        <v>201</v>
      </c>
      <c r="E54" s="48"/>
      <c r="F54" s="50" t="s">
        <v>21</v>
      </c>
      <c r="G54" s="50"/>
      <c r="H54" s="50"/>
      <c r="I54" s="50" t="s">
        <v>21</v>
      </c>
      <c r="J54" s="50"/>
      <c r="K54" s="50" t="s">
        <v>94</v>
      </c>
      <c r="L54" s="50"/>
      <c r="M54" s="50"/>
      <c r="N54" s="49"/>
    </row>
    <row r="55" spans="1:14" ht="62.1" hidden="1">
      <c r="A55" s="136"/>
      <c r="B55" s="138"/>
      <c r="C55" s="47" t="s">
        <v>202</v>
      </c>
      <c r="D55" s="48" t="s">
        <v>203</v>
      </c>
      <c r="E55" s="48"/>
      <c r="F55" s="49" t="s">
        <v>21</v>
      </c>
      <c r="G55" s="49"/>
      <c r="H55" s="49"/>
      <c r="I55" s="49" t="s">
        <v>21</v>
      </c>
      <c r="J55" s="49"/>
      <c r="K55" s="49" t="s">
        <v>94</v>
      </c>
      <c r="L55" s="49"/>
      <c r="M55" s="49"/>
      <c r="N55" s="49"/>
    </row>
    <row r="56" spans="1:14" ht="46.5" hidden="1">
      <c r="A56" s="136"/>
      <c r="B56" s="138"/>
      <c r="C56" s="47" t="s">
        <v>204</v>
      </c>
      <c r="D56" s="48" t="s">
        <v>205</v>
      </c>
      <c r="E56" s="48"/>
      <c r="F56" s="49" t="s">
        <v>21</v>
      </c>
      <c r="G56" s="49"/>
      <c r="H56" s="49"/>
      <c r="I56" s="49" t="s">
        <v>21</v>
      </c>
      <c r="J56" s="49"/>
      <c r="K56" s="49" t="s">
        <v>94</v>
      </c>
      <c r="L56" s="49"/>
      <c r="M56" s="49"/>
      <c r="N56" s="49"/>
    </row>
    <row r="57" spans="1:14" ht="62.1">
      <c r="A57" s="136" t="s">
        <v>206</v>
      </c>
      <c r="B57" s="138" t="s">
        <v>207</v>
      </c>
      <c r="C57" s="47" t="s">
        <v>208</v>
      </c>
      <c r="D57" s="48" t="s">
        <v>209</v>
      </c>
      <c r="E57" s="48"/>
      <c r="F57" s="49" t="s">
        <v>21</v>
      </c>
      <c r="G57" s="49"/>
      <c r="H57" s="49"/>
      <c r="I57" s="49" t="s">
        <v>73</v>
      </c>
      <c r="J57" s="52" t="s">
        <v>24</v>
      </c>
      <c r="K57" s="49" t="s">
        <v>68</v>
      </c>
      <c r="L57" s="49" t="s">
        <v>186</v>
      </c>
      <c r="M57" s="49"/>
      <c r="N57" s="49"/>
    </row>
    <row r="58" spans="1:14" ht="93" hidden="1">
      <c r="A58" s="136"/>
      <c r="B58" s="138"/>
      <c r="C58" s="47" t="s">
        <v>210</v>
      </c>
      <c r="D58" s="48" t="s">
        <v>211</v>
      </c>
      <c r="E58" s="48"/>
      <c r="F58" s="49" t="s">
        <v>21</v>
      </c>
      <c r="G58" s="49"/>
      <c r="H58" s="49"/>
      <c r="I58" s="49" t="s">
        <v>21</v>
      </c>
      <c r="J58" s="49"/>
      <c r="K58" s="49" t="s">
        <v>68</v>
      </c>
      <c r="L58" s="49" t="s">
        <v>186</v>
      </c>
      <c r="M58" s="49"/>
      <c r="N58" s="49"/>
    </row>
    <row r="59" spans="1:14" ht="46.5" hidden="1">
      <c r="A59" s="136"/>
      <c r="B59" s="138"/>
      <c r="C59" s="47" t="s">
        <v>212</v>
      </c>
      <c r="D59" s="48" t="s">
        <v>213</v>
      </c>
      <c r="E59" s="48"/>
      <c r="F59" s="49" t="s">
        <v>21</v>
      </c>
      <c r="G59" s="49"/>
      <c r="H59" s="49"/>
      <c r="I59" s="49" t="s">
        <v>21</v>
      </c>
      <c r="J59" s="49"/>
      <c r="K59" s="49" t="s">
        <v>68</v>
      </c>
      <c r="L59" s="49" t="s">
        <v>186</v>
      </c>
      <c r="M59" s="49"/>
      <c r="N59" s="49"/>
    </row>
    <row r="60" spans="1:14" ht="77.45" hidden="1">
      <c r="A60" s="136"/>
      <c r="B60" s="138"/>
      <c r="C60" s="47" t="s">
        <v>214</v>
      </c>
      <c r="D60" s="48" t="s">
        <v>215</v>
      </c>
      <c r="E60" s="48"/>
      <c r="F60" s="49" t="s">
        <v>21</v>
      </c>
      <c r="G60" s="49"/>
      <c r="H60" s="49"/>
      <c r="I60" s="49" t="s">
        <v>21</v>
      </c>
      <c r="J60" s="49"/>
      <c r="K60" s="49" t="s">
        <v>68</v>
      </c>
      <c r="L60" s="49" t="s">
        <v>186</v>
      </c>
      <c r="M60" s="49"/>
      <c r="N60" s="49"/>
    </row>
    <row r="61" spans="1:14" ht="72.75" hidden="1" customHeight="1">
      <c r="A61" s="136"/>
      <c r="B61" s="138"/>
      <c r="C61" s="47" t="s">
        <v>216</v>
      </c>
      <c r="D61" s="48" t="s">
        <v>217</v>
      </c>
      <c r="E61" s="48"/>
      <c r="F61" s="49" t="s">
        <v>21</v>
      </c>
      <c r="G61" s="49"/>
      <c r="H61" s="49"/>
      <c r="I61" s="49" t="s">
        <v>21</v>
      </c>
      <c r="J61" s="49"/>
      <c r="K61" s="49" t="s">
        <v>68</v>
      </c>
      <c r="L61" s="49" t="s">
        <v>186</v>
      </c>
      <c r="M61" s="49"/>
      <c r="N61" s="49"/>
    </row>
    <row r="62" spans="1:14" ht="30.95" hidden="1">
      <c r="A62" s="136"/>
      <c r="B62" s="138"/>
      <c r="C62" s="47" t="s">
        <v>193</v>
      </c>
      <c r="D62" s="48" t="s">
        <v>218</v>
      </c>
      <c r="E62" s="48"/>
      <c r="F62" s="50" t="s">
        <v>21</v>
      </c>
      <c r="G62" s="50"/>
      <c r="H62" s="50"/>
      <c r="I62" s="50" t="s">
        <v>21</v>
      </c>
      <c r="J62" s="50"/>
      <c r="K62" s="50" t="s">
        <v>94</v>
      </c>
      <c r="L62" s="50"/>
      <c r="M62" s="50"/>
      <c r="N62" s="49"/>
    </row>
    <row r="63" spans="1:14" ht="15.6" hidden="1">
      <c r="A63" s="136"/>
      <c r="B63" s="138"/>
      <c r="C63" s="47" t="s">
        <v>219</v>
      </c>
      <c r="D63" s="48" t="s">
        <v>220</v>
      </c>
      <c r="E63" s="48"/>
      <c r="F63" s="49"/>
      <c r="G63" s="49"/>
      <c r="H63" s="49"/>
      <c r="I63" s="49" t="s">
        <v>21</v>
      </c>
      <c r="J63" s="49"/>
      <c r="K63" s="49" t="s">
        <v>68</v>
      </c>
      <c r="L63" s="49" t="s">
        <v>186</v>
      </c>
      <c r="M63" s="49"/>
      <c r="N63" s="49"/>
    </row>
    <row r="64" spans="1:14" ht="15.6" hidden="1">
      <c r="A64" s="136"/>
      <c r="B64" s="138"/>
      <c r="C64" s="47" t="s">
        <v>221</v>
      </c>
      <c r="D64" s="48" t="s">
        <v>222</v>
      </c>
      <c r="E64" s="48" t="s">
        <v>223</v>
      </c>
      <c r="F64" s="49" t="s">
        <v>21</v>
      </c>
      <c r="G64" s="49"/>
      <c r="H64" s="49"/>
      <c r="I64" s="49" t="s">
        <v>21</v>
      </c>
      <c r="J64" s="49"/>
      <c r="K64" s="49" t="s">
        <v>68</v>
      </c>
      <c r="L64" s="49" t="s">
        <v>186</v>
      </c>
      <c r="M64" s="49"/>
      <c r="N64" s="49"/>
    </row>
    <row r="65" spans="1:14" ht="15.6" hidden="1">
      <c r="A65" s="136"/>
      <c r="B65" s="138"/>
      <c r="C65" s="47" t="s">
        <v>224</v>
      </c>
      <c r="D65" s="48" t="s">
        <v>225</v>
      </c>
      <c r="E65" s="48" t="s">
        <v>72</v>
      </c>
      <c r="F65" s="49" t="s">
        <v>21</v>
      </c>
      <c r="G65" s="49"/>
      <c r="H65" s="49"/>
      <c r="I65" s="49" t="s">
        <v>21</v>
      </c>
      <c r="J65" s="49"/>
      <c r="K65" s="49" t="s">
        <v>68</v>
      </c>
      <c r="L65" s="49" t="s">
        <v>186</v>
      </c>
      <c r="M65" s="49"/>
      <c r="N65" s="49"/>
    </row>
    <row r="66" spans="1:14" ht="15.6" hidden="1">
      <c r="A66" s="136"/>
      <c r="B66" s="138"/>
      <c r="C66" s="47" t="s">
        <v>226</v>
      </c>
      <c r="D66" s="48" t="s">
        <v>222</v>
      </c>
      <c r="E66" s="48" t="s">
        <v>72</v>
      </c>
      <c r="F66" s="50" t="s">
        <v>21</v>
      </c>
      <c r="G66" s="50"/>
      <c r="H66" s="50"/>
      <c r="I66" s="50" t="s">
        <v>21</v>
      </c>
      <c r="J66" s="50"/>
      <c r="K66" s="50" t="s">
        <v>94</v>
      </c>
      <c r="L66" s="50"/>
      <c r="M66" s="50"/>
      <c r="N66" s="49"/>
    </row>
    <row r="67" spans="1:14" ht="15.6" hidden="1">
      <c r="A67" s="136"/>
      <c r="B67" s="138"/>
      <c r="C67" s="47" t="s">
        <v>227</v>
      </c>
      <c r="D67" s="48">
        <v>60</v>
      </c>
      <c r="E67" s="48" t="s">
        <v>223</v>
      </c>
      <c r="F67" s="49" t="s">
        <v>21</v>
      </c>
      <c r="G67" s="49"/>
      <c r="H67" s="49"/>
      <c r="I67" s="49" t="s">
        <v>21</v>
      </c>
      <c r="J67" s="49"/>
      <c r="K67" s="49" t="s">
        <v>68</v>
      </c>
      <c r="L67" s="49" t="s">
        <v>186</v>
      </c>
      <c r="M67" s="49"/>
      <c r="N67" s="49"/>
    </row>
    <row r="68" spans="1:14" ht="43.5" hidden="1">
      <c r="A68" s="136"/>
      <c r="B68" s="138"/>
      <c r="C68" s="47" t="s">
        <v>228</v>
      </c>
      <c r="D68" s="48" t="s">
        <v>229</v>
      </c>
      <c r="E68" s="48"/>
      <c r="F68" s="50" t="s">
        <v>21</v>
      </c>
      <c r="G68" s="50"/>
      <c r="H68" s="50"/>
      <c r="I68" s="50" t="s">
        <v>21</v>
      </c>
      <c r="J68" s="50"/>
      <c r="K68" s="50" t="s">
        <v>152</v>
      </c>
      <c r="L68" s="51" t="s">
        <v>230</v>
      </c>
      <c r="M68" s="50" t="s">
        <v>154</v>
      </c>
      <c r="N68" s="49"/>
    </row>
    <row r="69" spans="1:14" ht="15.6" hidden="1">
      <c r="A69" s="136"/>
      <c r="B69" s="138"/>
      <c r="C69" s="47" t="s">
        <v>231</v>
      </c>
      <c r="D69" s="48" t="s">
        <v>232</v>
      </c>
      <c r="E69" s="48"/>
      <c r="F69" s="49" t="s">
        <v>21</v>
      </c>
      <c r="G69" s="49"/>
      <c r="H69" s="49"/>
      <c r="I69" s="49" t="s">
        <v>21</v>
      </c>
      <c r="J69" s="49"/>
      <c r="K69" s="49" t="s">
        <v>94</v>
      </c>
      <c r="L69" s="49"/>
      <c r="M69" s="49"/>
      <c r="N69" s="49"/>
    </row>
    <row r="70" spans="1:14" ht="15.6" hidden="1">
      <c r="A70" s="136"/>
      <c r="B70" s="138"/>
      <c r="C70" s="47" t="s">
        <v>233</v>
      </c>
      <c r="D70" s="48" t="s">
        <v>234</v>
      </c>
      <c r="E70" s="48"/>
      <c r="F70" s="49" t="s">
        <v>21</v>
      </c>
      <c r="G70" s="49"/>
      <c r="H70" s="49"/>
      <c r="I70" s="49" t="s">
        <v>21</v>
      </c>
      <c r="J70" s="49"/>
      <c r="K70" s="49" t="s">
        <v>94</v>
      </c>
      <c r="L70" s="49"/>
      <c r="M70" s="49"/>
      <c r="N70" s="49"/>
    </row>
    <row r="71" spans="1:14" ht="46.5" hidden="1">
      <c r="A71" s="136"/>
      <c r="B71" s="138" t="s">
        <v>235</v>
      </c>
      <c r="C71" s="47" t="s">
        <v>236</v>
      </c>
      <c r="D71" s="48" t="s">
        <v>237</v>
      </c>
      <c r="E71" s="48"/>
      <c r="F71" s="49" t="s">
        <v>21</v>
      </c>
      <c r="G71" s="49"/>
      <c r="H71" s="49"/>
      <c r="I71" s="49" t="s">
        <v>21</v>
      </c>
      <c r="J71" s="49"/>
      <c r="K71" s="49" t="s">
        <v>68</v>
      </c>
      <c r="L71" s="49" t="s">
        <v>186</v>
      </c>
      <c r="M71" s="49"/>
      <c r="N71" s="49"/>
    </row>
    <row r="72" spans="1:14" ht="46.5" hidden="1">
      <c r="A72" s="136"/>
      <c r="B72" s="138"/>
      <c r="C72" s="47" t="s">
        <v>238</v>
      </c>
      <c r="D72" s="48" t="s">
        <v>239</v>
      </c>
      <c r="E72" s="48"/>
      <c r="F72" s="49" t="s">
        <v>21</v>
      </c>
      <c r="G72" s="49"/>
      <c r="H72" s="49"/>
      <c r="I72" s="49" t="s">
        <v>21</v>
      </c>
      <c r="J72" s="49"/>
      <c r="K72" s="49" t="s">
        <v>68</v>
      </c>
      <c r="L72" s="49" t="s">
        <v>186</v>
      </c>
      <c r="M72" s="49"/>
      <c r="N72" s="49"/>
    </row>
    <row r="73" spans="1:14" ht="46.5" hidden="1">
      <c r="A73" s="136"/>
      <c r="B73" s="138"/>
      <c r="C73" s="47" t="s">
        <v>240</v>
      </c>
      <c r="D73" s="48" t="s">
        <v>241</v>
      </c>
      <c r="E73" s="48"/>
      <c r="F73" s="49" t="s">
        <v>21</v>
      </c>
      <c r="G73" s="49"/>
      <c r="H73" s="49"/>
      <c r="I73" s="49" t="s">
        <v>21</v>
      </c>
      <c r="J73" s="49"/>
      <c r="K73" s="49" t="s">
        <v>68</v>
      </c>
      <c r="L73" s="49" t="s">
        <v>186</v>
      </c>
      <c r="M73" s="49"/>
      <c r="N73" s="49"/>
    </row>
    <row r="74" spans="1:14" ht="30.95" hidden="1">
      <c r="A74" s="136"/>
      <c r="B74" s="138"/>
      <c r="C74" s="47" t="s">
        <v>242</v>
      </c>
      <c r="D74" s="48" t="s">
        <v>243</v>
      </c>
      <c r="E74" s="48"/>
      <c r="F74" s="49" t="s">
        <v>21</v>
      </c>
      <c r="G74" s="49"/>
      <c r="H74" s="49"/>
      <c r="I74" s="49" t="s">
        <v>21</v>
      </c>
      <c r="J74" s="49"/>
      <c r="K74" s="49" t="s">
        <v>68</v>
      </c>
      <c r="L74" s="49" t="s">
        <v>186</v>
      </c>
      <c r="M74" s="49"/>
      <c r="N74" s="49"/>
    </row>
    <row r="75" spans="1:14" ht="108.6" hidden="1">
      <c r="A75" s="136"/>
      <c r="B75" s="138"/>
      <c r="C75" s="47" t="s">
        <v>244</v>
      </c>
      <c r="D75" s="48" t="s">
        <v>245</v>
      </c>
      <c r="E75" s="48"/>
      <c r="F75" s="49" t="s">
        <v>21</v>
      </c>
      <c r="G75" s="49"/>
      <c r="H75" s="49"/>
      <c r="I75" s="49" t="s">
        <v>21</v>
      </c>
      <c r="J75" s="49"/>
      <c r="K75" s="49" t="s">
        <v>68</v>
      </c>
      <c r="L75" s="49" t="s">
        <v>186</v>
      </c>
      <c r="M75" s="49"/>
      <c r="N75" s="49"/>
    </row>
    <row r="76" spans="1:14" ht="46.5" hidden="1">
      <c r="A76" s="136"/>
      <c r="B76" s="138"/>
      <c r="C76" s="47" t="s">
        <v>246</v>
      </c>
      <c r="D76" s="48" t="s">
        <v>247</v>
      </c>
      <c r="E76" s="48"/>
      <c r="F76" s="50" t="s">
        <v>21</v>
      </c>
      <c r="G76" s="50"/>
      <c r="H76" s="50"/>
      <c r="I76" s="50" t="s">
        <v>21</v>
      </c>
      <c r="J76" s="50"/>
      <c r="K76" s="50" t="s">
        <v>94</v>
      </c>
      <c r="L76" s="50"/>
      <c r="M76" s="50"/>
      <c r="N76" s="49"/>
    </row>
    <row r="77" spans="1:14" ht="30.95" hidden="1">
      <c r="A77" s="136"/>
      <c r="B77" s="138"/>
      <c r="C77" s="47" t="s">
        <v>248</v>
      </c>
      <c r="D77" s="48" t="s">
        <v>249</v>
      </c>
      <c r="E77" s="48"/>
      <c r="F77" s="49" t="s">
        <v>21</v>
      </c>
      <c r="G77" s="49"/>
      <c r="H77" s="49"/>
      <c r="I77" s="49" t="s">
        <v>21</v>
      </c>
      <c r="J77" s="49"/>
      <c r="K77" s="49" t="s">
        <v>94</v>
      </c>
      <c r="L77" s="49"/>
      <c r="M77" s="49"/>
      <c r="N77" s="49"/>
    </row>
    <row r="78" spans="1:14" ht="30.95" hidden="1">
      <c r="A78" s="136"/>
      <c r="B78" s="138"/>
      <c r="C78" s="47" t="s">
        <v>250</v>
      </c>
      <c r="D78" s="48">
        <v>330</v>
      </c>
      <c r="E78" s="48" t="s">
        <v>251</v>
      </c>
      <c r="F78" s="49" t="s">
        <v>21</v>
      </c>
      <c r="G78" s="49"/>
      <c r="H78" s="49"/>
      <c r="I78" s="49" t="s">
        <v>21</v>
      </c>
      <c r="J78" s="49"/>
      <c r="K78" s="49" t="s">
        <v>68</v>
      </c>
      <c r="L78" s="49" t="s">
        <v>186</v>
      </c>
      <c r="M78" s="49"/>
      <c r="N78" s="49"/>
    </row>
    <row r="79" spans="1:14" ht="29.1">
      <c r="A79" s="136"/>
      <c r="B79" s="138"/>
      <c r="C79" s="47" t="s">
        <v>252</v>
      </c>
      <c r="D79" s="48">
        <v>25</v>
      </c>
      <c r="E79" s="48" t="s">
        <v>72</v>
      </c>
      <c r="F79" s="49" t="s">
        <v>21</v>
      </c>
      <c r="G79" s="49"/>
      <c r="H79" s="49"/>
      <c r="I79" s="49" t="s">
        <v>73</v>
      </c>
      <c r="J79" s="52" t="s">
        <v>253</v>
      </c>
      <c r="K79" s="49" t="s">
        <v>68</v>
      </c>
      <c r="L79" s="49" t="s">
        <v>186</v>
      </c>
      <c r="M79" s="49"/>
      <c r="N79" s="49"/>
    </row>
    <row r="80" spans="1:14" ht="15.6">
      <c r="A80" s="136"/>
      <c r="B80" s="138"/>
      <c r="C80" s="47" t="s">
        <v>28</v>
      </c>
      <c r="D80" s="48">
        <v>40</v>
      </c>
      <c r="E80" s="48" t="s">
        <v>72</v>
      </c>
      <c r="F80" s="49" t="s">
        <v>21</v>
      </c>
      <c r="G80" s="49"/>
      <c r="H80" s="49"/>
      <c r="I80" s="49" t="s">
        <v>73</v>
      </c>
      <c r="J80" s="49" t="s">
        <v>254</v>
      </c>
      <c r="K80" s="49" t="s">
        <v>68</v>
      </c>
      <c r="L80" s="49" t="s">
        <v>186</v>
      </c>
      <c r="M80" s="49"/>
      <c r="N80" s="49"/>
    </row>
    <row r="81" spans="1:14" ht="62.1" hidden="1">
      <c r="A81" s="136"/>
      <c r="B81" s="138" t="s">
        <v>255</v>
      </c>
      <c r="C81" s="47" t="s">
        <v>256</v>
      </c>
      <c r="D81" s="48" t="s">
        <v>257</v>
      </c>
      <c r="E81" s="48"/>
      <c r="F81" s="49" t="s">
        <v>21</v>
      </c>
      <c r="G81" s="49"/>
      <c r="H81" s="49"/>
      <c r="I81" s="49" t="s">
        <v>21</v>
      </c>
      <c r="J81" s="49"/>
      <c r="K81" s="49" t="s">
        <v>68</v>
      </c>
      <c r="L81" s="49" t="s">
        <v>186</v>
      </c>
      <c r="M81" s="49"/>
      <c r="N81" s="49"/>
    </row>
    <row r="82" spans="1:14" ht="46.5">
      <c r="A82" s="136"/>
      <c r="B82" s="138"/>
      <c r="C82" s="47" t="s">
        <v>258</v>
      </c>
      <c r="D82" s="48" t="s">
        <v>259</v>
      </c>
      <c r="E82" s="48"/>
      <c r="F82" s="49" t="s">
        <v>21</v>
      </c>
      <c r="G82" s="49"/>
      <c r="H82" s="49"/>
      <c r="I82" s="49" t="s">
        <v>65</v>
      </c>
      <c r="J82" s="49" t="s">
        <v>260</v>
      </c>
      <c r="K82" s="49" t="s">
        <v>68</v>
      </c>
      <c r="L82" s="49" t="s">
        <v>186</v>
      </c>
      <c r="M82" s="49"/>
      <c r="N82" s="49"/>
    </row>
    <row r="83" spans="1:14" ht="46.5">
      <c r="A83" s="136"/>
      <c r="B83" s="138"/>
      <c r="C83" s="47" t="s">
        <v>261</v>
      </c>
      <c r="D83" s="48" t="s">
        <v>262</v>
      </c>
      <c r="E83" s="48"/>
      <c r="F83" s="49" t="s">
        <v>21</v>
      </c>
      <c r="G83" s="49"/>
      <c r="H83" s="49"/>
      <c r="I83" s="49" t="s">
        <v>65</v>
      </c>
      <c r="J83" s="49" t="s">
        <v>263</v>
      </c>
      <c r="K83" s="49" t="s">
        <v>68</v>
      </c>
      <c r="L83" s="49" t="s">
        <v>186</v>
      </c>
      <c r="M83" s="49"/>
      <c r="N83" s="49"/>
    </row>
    <row r="84" spans="1:14" ht="46.5">
      <c r="A84" s="136"/>
      <c r="B84" s="138"/>
      <c r="C84" s="47" t="s">
        <v>264</v>
      </c>
      <c r="D84" s="48" t="s">
        <v>265</v>
      </c>
      <c r="E84" s="48"/>
      <c r="F84" s="49" t="s">
        <v>21</v>
      </c>
      <c r="G84" s="49"/>
      <c r="H84" s="49"/>
      <c r="I84" s="49" t="s">
        <v>65</v>
      </c>
      <c r="J84" s="49" t="s">
        <v>266</v>
      </c>
      <c r="K84" s="49" t="s">
        <v>68</v>
      </c>
      <c r="L84" s="49" t="s">
        <v>186</v>
      </c>
      <c r="M84" s="49"/>
      <c r="N84" s="49"/>
    </row>
    <row r="85" spans="1:14" ht="62.1" hidden="1">
      <c r="A85" s="136"/>
      <c r="B85" s="138" t="s">
        <v>267</v>
      </c>
      <c r="C85" s="47" t="s">
        <v>268</v>
      </c>
      <c r="D85" s="48" t="s">
        <v>269</v>
      </c>
      <c r="E85" s="48"/>
      <c r="F85" s="50" t="s">
        <v>21</v>
      </c>
      <c r="G85" s="50"/>
      <c r="H85" s="50"/>
      <c r="I85" s="50" t="s">
        <v>21</v>
      </c>
      <c r="J85" s="50"/>
      <c r="K85" s="50" t="s">
        <v>94</v>
      </c>
      <c r="L85" s="50"/>
      <c r="M85" s="50"/>
      <c r="N85" s="49"/>
    </row>
    <row r="86" spans="1:14" ht="46.5" hidden="1">
      <c r="A86" s="136"/>
      <c r="B86" s="138"/>
      <c r="C86" s="47" t="s">
        <v>270</v>
      </c>
      <c r="D86" s="48" t="s">
        <v>271</v>
      </c>
      <c r="E86" s="48"/>
      <c r="F86" s="49" t="s">
        <v>21</v>
      </c>
      <c r="G86" s="49"/>
      <c r="H86" s="49"/>
      <c r="I86" s="49" t="s">
        <v>21</v>
      </c>
      <c r="J86" s="49"/>
      <c r="K86" s="49" t="s">
        <v>94</v>
      </c>
      <c r="L86" s="49"/>
      <c r="M86" s="49"/>
      <c r="N86" s="49"/>
    </row>
    <row r="87" spans="1:14" ht="46.5" hidden="1">
      <c r="A87" s="136"/>
      <c r="B87" s="138"/>
      <c r="C87" s="47" t="s">
        <v>272</v>
      </c>
      <c r="D87" s="48" t="s">
        <v>273</v>
      </c>
      <c r="E87" s="48"/>
      <c r="F87" s="49" t="s">
        <v>21</v>
      </c>
      <c r="G87" s="49"/>
      <c r="H87" s="49"/>
      <c r="I87" s="49" t="s">
        <v>21</v>
      </c>
      <c r="J87" s="49"/>
      <c r="K87" s="49" t="s">
        <v>94</v>
      </c>
      <c r="L87" s="49"/>
      <c r="M87" s="49"/>
      <c r="N87" s="49"/>
    </row>
    <row r="88" spans="1:14" ht="62.1" hidden="1">
      <c r="A88" s="136"/>
      <c r="B88" s="138" t="s">
        <v>274</v>
      </c>
      <c r="C88" s="47" t="s">
        <v>275</v>
      </c>
      <c r="D88" s="48" t="s">
        <v>276</v>
      </c>
      <c r="E88" s="48"/>
      <c r="F88" s="49" t="s">
        <v>21</v>
      </c>
      <c r="G88" s="49"/>
      <c r="H88" s="49"/>
      <c r="I88" s="49" t="s">
        <v>21</v>
      </c>
      <c r="J88" s="49"/>
      <c r="K88" s="49" t="s">
        <v>68</v>
      </c>
      <c r="L88" s="49" t="s">
        <v>186</v>
      </c>
      <c r="M88" s="49"/>
      <c r="N88" s="49"/>
    </row>
    <row r="89" spans="1:14" ht="46.5">
      <c r="A89" s="136"/>
      <c r="B89" s="138"/>
      <c r="C89" s="47" t="s">
        <v>277</v>
      </c>
      <c r="D89" s="48" t="s">
        <v>278</v>
      </c>
      <c r="E89" s="48"/>
      <c r="F89" s="49" t="s">
        <v>21</v>
      </c>
      <c r="G89" s="49"/>
      <c r="H89" s="49"/>
      <c r="I89" s="49" t="s">
        <v>73</v>
      </c>
      <c r="J89" s="49" t="s">
        <v>279</v>
      </c>
      <c r="K89" s="49" t="s">
        <v>68</v>
      </c>
      <c r="L89" s="49" t="s">
        <v>186</v>
      </c>
      <c r="M89" s="49"/>
      <c r="N89" s="49"/>
    </row>
    <row r="90" spans="1:14" ht="46.5" hidden="1">
      <c r="A90" s="136"/>
      <c r="B90" s="138"/>
      <c r="C90" s="47" t="s">
        <v>280</v>
      </c>
      <c r="D90" s="48" t="s">
        <v>281</v>
      </c>
      <c r="E90" s="48"/>
      <c r="F90" s="50" t="s">
        <v>21</v>
      </c>
      <c r="G90" s="50"/>
      <c r="H90" s="50"/>
      <c r="I90" s="50" t="s">
        <v>21</v>
      </c>
      <c r="J90" s="50"/>
      <c r="K90" s="50" t="s">
        <v>94</v>
      </c>
      <c r="L90" s="50"/>
      <c r="M90" s="50"/>
      <c r="N90" s="49"/>
    </row>
    <row r="91" spans="1:14" ht="62.1" hidden="1">
      <c r="A91" s="136"/>
      <c r="B91" s="138" t="s">
        <v>282</v>
      </c>
      <c r="C91" s="47" t="s">
        <v>283</v>
      </c>
      <c r="D91" s="48" t="s">
        <v>284</v>
      </c>
      <c r="E91" s="48"/>
      <c r="F91" s="49" t="s">
        <v>21</v>
      </c>
      <c r="G91" s="49"/>
      <c r="H91" s="49"/>
      <c r="I91" s="49" t="s">
        <v>21</v>
      </c>
      <c r="J91" s="49"/>
      <c r="K91" s="49" t="s">
        <v>68</v>
      </c>
      <c r="L91" s="49" t="s">
        <v>186</v>
      </c>
      <c r="M91" s="49"/>
      <c r="N91" s="49"/>
    </row>
    <row r="92" spans="1:14" ht="46.5">
      <c r="A92" s="136"/>
      <c r="B92" s="138"/>
      <c r="C92" s="47" t="s">
        <v>285</v>
      </c>
      <c r="D92" s="48" t="s">
        <v>286</v>
      </c>
      <c r="E92" s="48"/>
      <c r="F92" s="49" t="s">
        <v>21</v>
      </c>
      <c r="G92" s="49"/>
      <c r="H92" s="49"/>
      <c r="I92" s="49" t="s">
        <v>73</v>
      </c>
      <c r="J92" s="49" t="s">
        <v>287</v>
      </c>
      <c r="K92" s="49" t="s">
        <v>68</v>
      </c>
      <c r="L92" s="49" t="s">
        <v>186</v>
      </c>
      <c r="M92" s="49"/>
      <c r="N92" s="49"/>
    </row>
    <row r="93" spans="1:14" ht="62.1" hidden="1">
      <c r="A93" s="136"/>
      <c r="B93" s="138"/>
      <c r="C93" s="47" t="s">
        <v>288</v>
      </c>
      <c r="D93" s="48" t="s">
        <v>289</v>
      </c>
      <c r="E93" s="48"/>
      <c r="F93" s="50" t="s">
        <v>21</v>
      </c>
      <c r="G93" s="50"/>
      <c r="H93" s="50"/>
      <c r="I93" s="50" t="s">
        <v>21</v>
      </c>
      <c r="J93" s="50"/>
      <c r="K93" s="50" t="s">
        <v>94</v>
      </c>
      <c r="L93" s="50"/>
      <c r="M93" s="50"/>
      <c r="N93" s="49"/>
    </row>
    <row r="94" spans="1:14" ht="46.5" hidden="1">
      <c r="A94" s="136"/>
      <c r="B94" s="138"/>
      <c r="C94" s="47" t="s">
        <v>290</v>
      </c>
      <c r="D94" s="48" t="s">
        <v>291</v>
      </c>
      <c r="E94" s="48"/>
      <c r="F94" s="49" t="s">
        <v>21</v>
      </c>
      <c r="G94" s="49"/>
      <c r="H94" s="49"/>
      <c r="I94" s="49" t="s">
        <v>21</v>
      </c>
      <c r="J94" s="49"/>
      <c r="K94" s="49" t="s">
        <v>94</v>
      </c>
      <c r="L94" s="49"/>
      <c r="M94" s="49"/>
      <c r="N94" s="49"/>
    </row>
    <row r="95" spans="1:14" ht="30.95" hidden="1">
      <c r="A95" s="136"/>
      <c r="B95" s="138" t="s">
        <v>292</v>
      </c>
      <c r="C95" s="47" t="s">
        <v>293</v>
      </c>
      <c r="D95" s="48" t="s">
        <v>294</v>
      </c>
      <c r="E95" s="48"/>
      <c r="F95" s="49" t="s">
        <v>21</v>
      </c>
      <c r="G95" s="49"/>
      <c r="H95" s="49"/>
      <c r="I95" s="49" t="s">
        <v>21</v>
      </c>
      <c r="J95" s="49"/>
      <c r="K95" s="49" t="s">
        <v>68</v>
      </c>
      <c r="L95" s="49" t="s">
        <v>186</v>
      </c>
      <c r="M95" s="49"/>
      <c r="N95" s="49"/>
    </row>
    <row r="96" spans="1:14" ht="62.1" hidden="1">
      <c r="A96" s="136"/>
      <c r="B96" s="138"/>
      <c r="C96" s="47" t="s">
        <v>295</v>
      </c>
      <c r="D96" s="48" t="s">
        <v>296</v>
      </c>
      <c r="E96" s="48"/>
      <c r="F96" s="50" t="s">
        <v>21</v>
      </c>
      <c r="G96" s="50"/>
      <c r="H96" s="50"/>
      <c r="I96" s="50" t="s">
        <v>21</v>
      </c>
      <c r="J96" s="50"/>
      <c r="K96" s="50" t="s">
        <v>152</v>
      </c>
      <c r="L96" s="51" t="s">
        <v>297</v>
      </c>
      <c r="M96" s="50" t="s">
        <v>154</v>
      </c>
      <c r="N96" s="49"/>
    </row>
    <row r="97" spans="1:14" ht="57.95" hidden="1">
      <c r="A97" s="136"/>
      <c r="B97" s="138"/>
      <c r="C97" s="47" t="s">
        <v>298</v>
      </c>
      <c r="D97" s="48" t="s">
        <v>299</v>
      </c>
      <c r="E97" s="48"/>
      <c r="F97" s="49" t="s">
        <v>21</v>
      </c>
      <c r="G97" s="49"/>
      <c r="H97" s="49"/>
      <c r="I97" s="49" t="s">
        <v>21</v>
      </c>
      <c r="J97" s="49"/>
      <c r="K97" s="49" t="s">
        <v>152</v>
      </c>
      <c r="L97" s="52" t="s">
        <v>297</v>
      </c>
      <c r="M97" s="49" t="s">
        <v>154</v>
      </c>
      <c r="N97" s="49"/>
    </row>
    <row r="98" spans="1:14" ht="57.95" hidden="1">
      <c r="A98" s="136"/>
      <c r="B98" s="138"/>
      <c r="C98" s="47" t="s">
        <v>300</v>
      </c>
      <c r="D98" s="48" t="s">
        <v>301</v>
      </c>
      <c r="E98" s="48"/>
      <c r="F98" s="49" t="s">
        <v>21</v>
      </c>
      <c r="G98" s="49"/>
      <c r="H98" s="49"/>
      <c r="I98" s="49" t="s">
        <v>21</v>
      </c>
      <c r="J98" s="49"/>
      <c r="K98" s="49" t="s">
        <v>152</v>
      </c>
      <c r="L98" s="52" t="s">
        <v>297</v>
      </c>
      <c r="M98" s="49" t="s">
        <v>154</v>
      </c>
      <c r="N98" s="49"/>
    </row>
    <row r="99" spans="1:14" ht="108.6" hidden="1">
      <c r="A99" s="136"/>
      <c r="B99" s="138" t="s">
        <v>302</v>
      </c>
      <c r="C99" s="47" t="s">
        <v>303</v>
      </c>
      <c r="D99" s="48" t="s">
        <v>304</v>
      </c>
      <c r="E99" s="48"/>
      <c r="F99" s="49" t="s">
        <v>21</v>
      </c>
      <c r="G99" s="49"/>
      <c r="H99" s="49"/>
      <c r="I99" s="49" t="s">
        <v>21</v>
      </c>
      <c r="J99" s="49"/>
      <c r="K99" s="49" t="s">
        <v>152</v>
      </c>
      <c r="L99" s="52" t="s">
        <v>305</v>
      </c>
      <c r="M99" s="49" t="s">
        <v>154</v>
      </c>
      <c r="N99" s="49"/>
    </row>
    <row r="100" spans="1:14" ht="62.1" hidden="1">
      <c r="A100" s="136"/>
      <c r="B100" s="138"/>
      <c r="C100" s="47" t="s">
        <v>306</v>
      </c>
      <c r="D100" s="48" t="s">
        <v>307</v>
      </c>
      <c r="E100" s="48"/>
      <c r="F100" s="49" t="s">
        <v>21</v>
      </c>
      <c r="G100" s="49"/>
      <c r="H100" s="49"/>
      <c r="I100" s="49" t="s">
        <v>21</v>
      </c>
      <c r="J100" s="49"/>
      <c r="K100" s="49" t="s">
        <v>94</v>
      </c>
      <c r="L100" s="49"/>
      <c r="M100" s="49"/>
      <c r="N100" s="49"/>
    </row>
    <row r="101" spans="1:14" ht="62.1" hidden="1">
      <c r="A101" s="136"/>
      <c r="B101" s="138"/>
      <c r="C101" s="47" t="s">
        <v>308</v>
      </c>
      <c r="D101" s="48" t="s">
        <v>309</v>
      </c>
      <c r="E101" s="48"/>
      <c r="F101" s="49" t="s">
        <v>21</v>
      </c>
      <c r="G101" s="49"/>
      <c r="H101" s="49"/>
      <c r="I101" s="49" t="s">
        <v>21</v>
      </c>
      <c r="J101" s="49"/>
      <c r="K101" s="49" t="s">
        <v>94</v>
      </c>
      <c r="L101" s="49"/>
      <c r="M101" s="49"/>
      <c r="N101" s="49"/>
    </row>
    <row r="102" spans="1:14" ht="62.1" hidden="1">
      <c r="A102" s="136"/>
      <c r="B102" s="138"/>
      <c r="C102" s="47" t="s">
        <v>310</v>
      </c>
      <c r="D102" s="48" t="s">
        <v>311</v>
      </c>
      <c r="E102" s="48"/>
      <c r="F102" s="49" t="s">
        <v>21</v>
      </c>
      <c r="G102" s="49"/>
      <c r="H102" s="49"/>
      <c r="I102" s="49" t="s">
        <v>21</v>
      </c>
      <c r="J102" s="49"/>
      <c r="K102" s="49" t="s">
        <v>94</v>
      </c>
      <c r="L102" s="49"/>
      <c r="M102" s="49"/>
      <c r="N102" s="49"/>
    </row>
    <row r="103" spans="1:14" ht="30.95" hidden="1">
      <c r="A103" s="136"/>
      <c r="B103" s="138" t="s">
        <v>312</v>
      </c>
      <c r="C103" s="47" t="s">
        <v>313</v>
      </c>
      <c r="D103" s="48" t="s">
        <v>314</v>
      </c>
      <c r="E103" s="48"/>
      <c r="F103" s="49" t="s">
        <v>21</v>
      </c>
      <c r="G103" s="49"/>
      <c r="H103" s="49"/>
      <c r="I103" s="49" t="s">
        <v>21</v>
      </c>
      <c r="J103" s="49"/>
      <c r="K103" s="49" t="s">
        <v>94</v>
      </c>
      <c r="L103" s="49"/>
      <c r="M103" s="49"/>
      <c r="N103" s="49"/>
    </row>
    <row r="104" spans="1:14" ht="62.1" hidden="1">
      <c r="A104" s="136"/>
      <c r="B104" s="138"/>
      <c r="C104" s="47" t="s">
        <v>315</v>
      </c>
      <c r="D104" s="48" t="s">
        <v>316</v>
      </c>
      <c r="E104" s="48"/>
      <c r="F104" s="49" t="s">
        <v>21</v>
      </c>
      <c r="G104" s="49"/>
      <c r="H104" s="49"/>
      <c r="I104" s="49" t="s">
        <v>21</v>
      </c>
      <c r="J104" s="49"/>
      <c r="K104" s="49" t="s">
        <v>68</v>
      </c>
      <c r="L104" s="49" t="s">
        <v>186</v>
      </c>
      <c r="M104" s="49"/>
      <c r="N104" s="49"/>
    </row>
    <row r="105" spans="1:14" ht="15.6" hidden="1">
      <c r="A105" s="136"/>
      <c r="B105" s="138"/>
      <c r="C105" s="47" t="s">
        <v>317</v>
      </c>
      <c r="D105" s="48">
        <v>20</v>
      </c>
      <c r="E105" s="48" t="s">
        <v>72</v>
      </c>
      <c r="F105" s="49" t="s">
        <v>21</v>
      </c>
      <c r="G105" s="49"/>
      <c r="H105" s="49"/>
      <c r="I105" s="49" t="s">
        <v>73</v>
      </c>
      <c r="J105" s="49"/>
      <c r="K105" s="49" t="s">
        <v>68</v>
      </c>
      <c r="L105" s="49" t="s">
        <v>186</v>
      </c>
      <c r="M105" s="49"/>
      <c r="N105" s="49"/>
    </row>
    <row r="106" spans="1:14" ht="62.1" hidden="1">
      <c r="A106" s="136" t="s">
        <v>318</v>
      </c>
      <c r="B106" s="138" t="s">
        <v>319</v>
      </c>
      <c r="C106" s="47" t="s">
        <v>320</v>
      </c>
      <c r="D106" s="48" t="s">
        <v>321</v>
      </c>
      <c r="E106" s="48"/>
      <c r="F106" s="50" t="s">
        <v>21</v>
      </c>
      <c r="G106" s="50"/>
      <c r="H106" s="50"/>
      <c r="I106" s="50" t="s">
        <v>21</v>
      </c>
      <c r="J106" s="50"/>
      <c r="K106" s="50" t="s">
        <v>94</v>
      </c>
      <c r="L106" s="50"/>
      <c r="M106" s="50"/>
      <c r="N106" s="49"/>
    </row>
    <row r="107" spans="1:14" ht="62.1" hidden="1">
      <c r="A107" s="136"/>
      <c r="B107" s="138"/>
      <c r="C107" s="47" t="s">
        <v>322</v>
      </c>
      <c r="D107" s="48" t="s">
        <v>323</v>
      </c>
      <c r="E107" s="48"/>
      <c r="F107" s="49" t="s">
        <v>21</v>
      </c>
      <c r="G107" s="49"/>
      <c r="H107" s="49"/>
      <c r="I107" s="49" t="s">
        <v>21</v>
      </c>
      <c r="J107" s="49"/>
      <c r="K107" s="49" t="s">
        <v>81</v>
      </c>
      <c r="L107" s="49" t="s">
        <v>87</v>
      </c>
      <c r="M107" s="49" t="s">
        <v>83</v>
      </c>
      <c r="N107" s="49"/>
    </row>
    <row r="108" spans="1:14" ht="62.1" hidden="1">
      <c r="A108" s="136"/>
      <c r="B108" s="138"/>
      <c r="C108" s="47" t="s">
        <v>324</v>
      </c>
      <c r="D108" s="48" t="s">
        <v>325</v>
      </c>
      <c r="E108" s="48"/>
      <c r="F108" s="49" t="s">
        <v>21</v>
      </c>
      <c r="G108" s="49"/>
      <c r="H108" s="49"/>
      <c r="I108" s="49" t="s">
        <v>21</v>
      </c>
      <c r="J108" s="49"/>
      <c r="K108" s="49" t="s">
        <v>94</v>
      </c>
      <c r="L108" s="49"/>
      <c r="M108" s="49"/>
      <c r="N108" s="49"/>
    </row>
    <row r="109" spans="1:14" ht="30.95" hidden="1">
      <c r="A109" s="136"/>
      <c r="B109" s="138" t="s">
        <v>326</v>
      </c>
      <c r="C109" s="47" t="s">
        <v>142</v>
      </c>
      <c r="D109" s="48" t="s">
        <v>327</v>
      </c>
      <c r="E109" s="48"/>
      <c r="F109" s="49" t="s">
        <v>21</v>
      </c>
      <c r="G109" s="49"/>
      <c r="H109" s="49"/>
      <c r="I109" s="49" t="s">
        <v>21</v>
      </c>
      <c r="J109" s="49"/>
      <c r="K109" s="49" t="s">
        <v>94</v>
      </c>
      <c r="L109" s="49"/>
      <c r="M109" s="49"/>
      <c r="N109" s="49"/>
    </row>
    <row r="110" spans="1:14" ht="15.6" hidden="1">
      <c r="A110" s="136"/>
      <c r="B110" s="138"/>
      <c r="C110" s="47" t="s">
        <v>328</v>
      </c>
      <c r="D110" s="48" t="s">
        <v>329</v>
      </c>
      <c r="E110" s="48"/>
      <c r="F110" s="49" t="s">
        <v>21</v>
      </c>
      <c r="G110" s="49"/>
      <c r="H110" s="49"/>
      <c r="I110" s="49" t="s">
        <v>21</v>
      </c>
      <c r="J110" s="49"/>
      <c r="K110" s="49" t="s">
        <v>94</v>
      </c>
      <c r="L110" s="49"/>
      <c r="M110" s="49"/>
      <c r="N110" s="49"/>
    </row>
    <row r="111" spans="1:14" ht="46.5" hidden="1">
      <c r="A111" s="136"/>
      <c r="B111" s="138"/>
      <c r="C111" s="47" t="s">
        <v>330</v>
      </c>
      <c r="D111" s="48" t="s">
        <v>331</v>
      </c>
      <c r="E111" s="48"/>
      <c r="F111" s="49" t="s">
        <v>21</v>
      </c>
      <c r="G111" s="49"/>
      <c r="H111" s="49"/>
      <c r="I111" s="49" t="s">
        <v>21</v>
      </c>
      <c r="J111" s="49"/>
      <c r="K111" s="49" t="s">
        <v>94</v>
      </c>
      <c r="L111" s="49"/>
      <c r="M111" s="49"/>
      <c r="N111" s="49"/>
    </row>
    <row r="112" spans="1:14" ht="62.1" hidden="1">
      <c r="A112" s="136"/>
      <c r="B112" s="138"/>
      <c r="C112" s="47" t="s">
        <v>248</v>
      </c>
      <c r="D112" s="48" t="s">
        <v>332</v>
      </c>
      <c r="E112" s="48"/>
      <c r="F112" s="49" t="s">
        <v>21</v>
      </c>
      <c r="G112" s="49"/>
      <c r="H112" s="49"/>
      <c r="I112" s="49" t="s">
        <v>21</v>
      </c>
      <c r="J112" s="49"/>
      <c r="K112" s="49" t="s">
        <v>94</v>
      </c>
      <c r="L112" s="49"/>
      <c r="M112" s="49"/>
      <c r="N112" s="49"/>
    </row>
    <row r="113" spans="1:14" ht="62.1" hidden="1">
      <c r="A113" s="136"/>
      <c r="B113" s="138" t="s">
        <v>333</v>
      </c>
      <c r="C113" s="47" t="s">
        <v>334</v>
      </c>
      <c r="D113" s="48" t="s">
        <v>335</v>
      </c>
      <c r="E113" s="48"/>
      <c r="F113" s="49" t="s">
        <v>21</v>
      </c>
      <c r="G113" s="49"/>
      <c r="H113" s="49"/>
      <c r="I113" s="49" t="s">
        <v>21</v>
      </c>
      <c r="J113" s="49"/>
      <c r="K113" s="49" t="s">
        <v>94</v>
      </c>
      <c r="L113" s="49"/>
      <c r="M113" s="49"/>
      <c r="N113" s="49"/>
    </row>
    <row r="114" spans="1:14" ht="62.1">
      <c r="A114" s="136"/>
      <c r="B114" s="138"/>
      <c r="C114" s="47" t="s">
        <v>336</v>
      </c>
      <c r="D114" s="48" t="s">
        <v>337</v>
      </c>
      <c r="E114" s="48"/>
      <c r="F114" s="49" t="s">
        <v>21</v>
      </c>
      <c r="G114" s="49"/>
      <c r="H114" s="49"/>
      <c r="I114" s="49" t="s">
        <v>73</v>
      </c>
      <c r="J114" s="52" t="s">
        <v>338</v>
      </c>
      <c r="K114" s="49" t="s">
        <v>68</v>
      </c>
      <c r="L114" s="49" t="s">
        <v>186</v>
      </c>
      <c r="M114" s="49"/>
      <c r="N114" s="49"/>
    </row>
    <row r="115" spans="1:14" ht="62.1">
      <c r="A115" s="136"/>
      <c r="B115" s="138"/>
      <c r="C115" s="47" t="s">
        <v>339</v>
      </c>
      <c r="D115" s="48" t="s">
        <v>340</v>
      </c>
      <c r="E115" s="48"/>
      <c r="F115" s="49" t="s">
        <v>21</v>
      </c>
      <c r="G115" s="49"/>
      <c r="H115" s="49"/>
      <c r="I115" s="49" t="s">
        <v>73</v>
      </c>
      <c r="J115" s="49" t="s">
        <v>341</v>
      </c>
      <c r="K115" s="49" t="s">
        <v>68</v>
      </c>
      <c r="L115" s="49" t="s">
        <v>186</v>
      </c>
      <c r="M115" s="49"/>
      <c r="N115" s="49"/>
    </row>
    <row r="116" spans="1:14" ht="30.95" hidden="1">
      <c r="A116" s="136"/>
      <c r="B116" s="138"/>
      <c r="C116" s="47" t="s">
        <v>342</v>
      </c>
      <c r="D116" s="48" t="s">
        <v>343</v>
      </c>
      <c r="E116" s="48"/>
      <c r="F116" s="50" t="s">
        <v>21</v>
      </c>
      <c r="G116" s="50"/>
      <c r="H116" s="50"/>
      <c r="I116" s="50" t="s">
        <v>21</v>
      </c>
      <c r="J116" s="50"/>
      <c r="K116" s="50" t="s">
        <v>94</v>
      </c>
      <c r="L116" s="50"/>
      <c r="M116" s="50"/>
      <c r="N116" s="49"/>
    </row>
    <row r="117" spans="1:14" ht="15.6" hidden="1">
      <c r="A117" s="136"/>
      <c r="B117" s="138" t="s">
        <v>344</v>
      </c>
      <c r="C117" s="47" t="s">
        <v>345</v>
      </c>
      <c r="D117" s="53" t="s">
        <v>346</v>
      </c>
      <c r="E117" s="48"/>
      <c r="F117" s="49" t="s">
        <v>21</v>
      </c>
      <c r="G117" s="49"/>
      <c r="H117" s="49"/>
      <c r="I117" s="49" t="s">
        <v>21</v>
      </c>
      <c r="J117" s="49"/>
      <c r="K117" s="49" t="s">
        <v>81</v>
      </c>
      <c r="L117" s="49" t="s">
        <v>87</v>
      </c>
      <c r="M117" s="49" t="s">
        <v>83</v>
      </c>
      <c r="N117" s="49"/>
    </row>
    <row r="118" spans="1:14" ht="46.5">
      <c r="A118" s="136"/>
      <c r="B118" s="138"/>
      <c r="C118" s="47" t="s">
        <v>347</v>
      </c>
      <c r="D118" s="48" t="s">
        <v>348</v>
      </c>
      <c r="E118" s="48"/>
      <c r="F118" s="49" t="s">
        <v>21</v>
      </c>
      <c r="G118" s="49"/>
      <c r="H118" s="49"/>
      <c r="I118" s="49" t="s">
        <v>73</v>
      </c>
      <c r="J118" s="49" t="s">
        <v>349</v>
      </c>
      <c r="K118" s="49" t="s">
        <v>68</v>
      </c>
      <c r="L118" s="49" t="s">
        <v>186</v>
      </c>
      <c r="M118" s="49"/>
      <c r="N118" s="49"/>
    </row>
    <row r="119" spans="1:14" ht="46.5">
      <c r="A119" s="136"/>
      <c r="B119" s="138"/>
      <c r="C119" s="47" t="s">
        <v>350</v>
      </c>
      <c r="D119" s="48" t="s">
        <v>351</v>
      </c>
      <c r="E119" s="48"/>
      <c r="F119" s="49" t="s">
        <v>21</v>
      </c>
      <c r="G119" s="49"/>
      <c r="H119" s="49"/>
      <c r="I119" s="49" t="s">
        <v>73</v>
      </c>
      <c r="J119" s="52" t="s">
        <v>352</v>
      </c>
      <c r="K119" s="49" t="s">
        <v>68</v>
      </c>
      <c r="L119" s="49" t="s">
        <v>186</v>
      </c>
      <c r="M119" s="49"/>
      <c r="N119" s="49"/>
    </row>
    <row r="120" spans="1:14" ht="46.5" hidden="1">
      <c r="A120" s="136" t="s">
        <v>353</v>
      </c>
      <c r="B120" s="138" t="s">
        <v>354</v>
      </c>
      <c r="C120" s="47" t="s">
        <v>355</v>
      </c>
      <c r="D120" s="48" t="s">
        <v>356</v>
      </c>
      <c r="E120" s="48"/>
      <c r="F120" s="50" t="s">
        <v>21</v>
      </c>
      <c r="G120" s="50"/>
      <c r="H120" s="50"/>
      <c r="I120" s="50" t="s">
        <v>21</v>
      </c>
      <c r="J120" s="50"/>
      <c r="K120" s="50" t="s">
        <v>94</v>
      </c>
      <c r="L120" s="50"/>
      <c r="M120" s="50"/>
      <c r="N120" s="49"/>
    </row>
    <row r="121" spans="1:14" ht="46.5" hidden="1">
      <c r="A121" s="136"/>
      <c r="B121" s="138"/>
      <c r="C121" s="47" t="s">
        <v>357</v>
      </c>
      <c r="D121" s="48" t="s">
        <v>358</v>
      </c>
      <c r="E121" s="48"/>
      <c r="F121" s="49" t="s">
        <v>21</v>
      </c>
      <c r="G121" s="49"/>
      <c r="H121" s="49"/>
      <c r="I121" s="49" t="s">
        <v>21</v>
      </c>
      <c r="J121" s="49"/>
      <c r="K121" s="49" t="s">
        <v>94</v>
      </c>
      <c r="L121" s="49"/>
      <c r="M121" s="49"/>
      <c r="N121" s="49"/>
    </row>
    <row r="122" spans="1:14" ht="62.1" hidden="1">
      <c r="A122" s="136"/>
      <c r="B122" s="138"/>
      <c r="C122" s="47" t="s">
        <v>359</v>
      </c>
      <c r="D122" s="48" t="s">
        <v>360</v>
      </c>
      <c r="E122" s="48"/>
      <c r="F122" s="49" t="s">
        <v>21</v>
      </c>
      <c r="G122" s="49"/>
      <c r="H122" s="49"/>
      <c r="I122" s="49" t="s">
        <v>21</v>
      </c>
      <c r="J122" s="49"/>
      <c r="K122" s="49" t="s">
        <v>94</v>
      </c>
      <c r="L122" s="49"/>
      <c r="M122" s="49"/>
      <c r="N122" s="49"/>
    </row>
    <row r="123" spans="1:14" ht="93">
      <c r="A123" s="136"/>
      <c r="B123" s="138" t="s">
        <v>39</v>
      </c>
      <c r="C123" s="47" t="s">
        <v>361</v>
      </c>
      <c r="D123" s="48" t="s">
        <v>362</v>
      </c>
      <c r="E123" s="48"/>
      <c r="F123" s="49" t="s">
        <v>21</v>
      </c>
      <c r="G123" s="49"/>
      <c r="H123" s="49"/>
      <c r="I123" s="49" t="s">
        <v>73</v>
      </c>
      <c r="J123" s="49" t="s">
        <v>363</v>
      </c>
      <c r="K123" s="49" t="s">
        <v>68</v>
      </c>
      <c r="L123" s="49" t="s">
        <v>186</v>
      </c>
      <c r="M123" s="49"/>
      <c r="N123" s="49"/>
    </row>
    <row r="124" spans="1:14" ht="30.95" hidden="1">
      <c r="A124" s="136"/>
      <c r="B124" s="138"/>
      <c r="C124" s="47" t="s">
        <v>364</v>
      </c>
      <c r="D124" s="48" t="s">
        <v>365</v>
      </c>
      <c r="E124" s="48"/>
      <c r="F124" s="50" t="s">
        <v>21</v>
      </c>
      <c r="G124" s="50"/>
      <c r="H124" s="50"/>
      <c r="I124" s="50" t="s">
        <v>21</v>
      </c>
      <c r="J124" s="50"/>
      <c r="K124" s="50" t="s">
        <v>94</v>
      </c>
      <c r="L124" s="50"/>
      <c r="M124" s="50"/>
      <c r="N124" s="49"/>
    </row>
    <row r="125" spans="1:14" ht="46.5" hidden="1">
      <c r="A125" s="136"/>
      <c r="B125" s="138"/>
      <c r="C125" s="47" t="s">
        <v>366</v>
      </c>
      <c r="D125" s="48" t="s">
        <v>367</v>
      </c>
      <c r="E125" s="48"/>
      <c r="F125" s="49" t="s">
        <v>21</v>
      </c>
      <c r="G125" s="49"/>
      <c r="H125" s="49"/>
      <c r="I125" s="49" t="s">
        <v>21</v>
      </c>
      <c r="J125" s="49"/>
      <c r="K125" s="49" t="s">
        <v>94</v>
      </c>
      <c r="L125" s="49"/>
      <c r="M125" s="49"/>
      <c r="N125" s="49"/>
    </row>
    <row r="126" spans="1:14" ht="46.5" hidden="1">
      <c r="A126" s="136" t="s">
        <v>368</v>
      </c>
      <c r="B126" s="138" t="s">
        <v>369</v>
      </c>
      <c r="C126" s="47" t="s">
        <v>370</v>
      </c>
      <c r="D126" s="48" t="s">
        <v>371</v>
      </c>
      <c r="E126" s="48"/>
      <c r="F126" s="49" t="s">
        <v>21</v>
      </c>
      <c r="G126" s="49"/>
      <c r="H126" s="49"/>
      <c r="I126" s="49" t="s">
        <v>21</v>
      </c>
      <c r="J126" s="49"/>
      <c r="K126" s="49" t="s">
        <v>94</v>
      </c>
      <c r="L126" s="49"/>
      <c r="M126" s="49"/>
      <c r="N126" s="49"/>
    </row>
    <row r="127" spans="1:14" ht="46.5" hidden="1">
      <c r="A127" s="136"/>
      <c r="B127" s="138"/>
      <c r="C127" s="47" t="s">
        <v>372</v>
      </c>
      <c r="D127" s="48" t="s">
        <v>373</v>
      </c>
      <c r="E127" s="48"/>
      <c r="F127" s="49" t="s">
        <v>21</v>
      </c>
      <c r="G127" s="49"/>
      <c r="H127" s="49"/>
      <c r="I127" s="49" t="s">
        <v>21</v>
      </c>
      <c r="J127" s="49"/>
      <c r="K127" s="49" t="s">
        <v>152</v>
      </c>
      <c r="L127" s="49" t="s">
        <v>374</v>
      </c>
      <c r="M127" s="49" t="s">
        <v>375</v>
      </c>
      <c r="N127" s="49"/>
    </row>
    <row r="128" spans="1:14" ht="47.25" hidden="1" customHeight="1">
      <c r="A128" s="136"/>
      <c r="B128" s="138"/>
      <c r="C128" s="47" t="s">
        <v>376</v>
      </c>
      <c r="D128" s="48" t="s">
        <v>377</v>
      </c>
      <c r="E128" s="48"/>
      <c r="F128" s="49" t="s">
        <v>21</v>
      </c>
      <c r="G128" s="49"/>
      <c r="H128" s="49"/>
      <c r="I128" s="49" t="s">
        <v>21</v>
      </c>
      <c r="J128" s="49"/>
      <c r="K128" s="49" t="s">
        <v>94</v>
      </c>
      <c r="L128" s="49"/>
      <c r="M128" s="49"/>
      <c r="N128" s="49"/>
    </row>
    <row r="129" spans="1:14" ht="47.25" hidden="1" customHeight="1">
      <c r="A129" s="136"/>
      <c r="B129" s="138"/>
      <c r="C129" s="47" t="s">
        <v>378</v>
      </c>
      <c r="D129" s="48" t="s">
        <v>379</v>
      </c>
      <c r="E129" s="48"/>
      <c r="F129" s="49" t="s">
        <v>21</v>
      </c>
      <c r="G129" s="49"/>
      <c r="H129" s="49"/>
      <c r="I129" s="49" t="s">
        <v>21</v>
      </c>
      <c r="J129" s="49"/>
      <c r="K129" s="49" t="s">
        <v>94</v>
      </c>
      <c r="L129" s="49"/>
      <c r="M129" s="49"/>
      <c r="N129" s="49"/>
    </row>
    <row r="130" spans="1:14" ht="46.5" hidden="1">
      <c r="A130" s="136"/>
      <c r="B130" s="138"/>
      <c r="C130" s="47" t="s">
        <v>380</v>
      </c>
      <c r="D130" s="48" t="s">
        <v>381</v>
      </c>
      <c r="E130" s="48"/>
      <c r="F130" s="49" t="s">
        <v>21</v>
      </c>
      <c r="G130" s="49"/>
      <c r="H130" s="49"/>
      <c r="I130" s="49" t="s">
        <v>21</v>
      </c>
      <c r="J130" s="49"/>
      <c r="K130" s="49" t="s">
        <v>94</v>
      </c>
      <c r="L130" s="49"/>
      <c r="M130" s="49"/>
      <c r="N130" s="49"/>
    </row>
    <row r="131" spans="1:14" ht="62.1" hidden="1">
      <c r="A131" s="136"/>
      <c r="B131" s="138"/>
      <c r="C131" s="47" t="s">
        <v>382</v>
      </c>
      <c r="D131" s="48" t="s">
        <v>383</v>
      </c>
      <c r="E131" s="48"/>
      <c r="F131" s="49" t="s">
        <v>21</v>
      </c>
      <c r="G131" s="49"/>
      <c r="H131" s="49"/>
      <c r="I131" s="49" t="s">
        <v>21</v>
      </c>
      <c r="J131" s="49"/>
      <c r="K131" s="49" t="s">
        <v>94</v>
      </c>
      <c r="L131" s="49"/>
      <c r="M131" s="49"/>
      <c r="N131" s="49"/>
    </row>
    <row r="132" spans="1:14" ht="46.5" hidden="1">
      <c r="A132" s="136"/>
      <c r="B132" s="138"/>
      <c r="C132" s="47" t="s">
        <v>384</v>
      </c>
      <c r="D132" s="48" t="s">
        <v>385</v>
      </c>
      <c r="E132" s="48"/>
      <c r="F132" s="49" t="s">
        <v>21</v>
      </c>
      <c r="G132" s="49"/>
      <c r="H132" s="49"/>
      <c r="I132" s="49" t="s">
        <v>21</v>
      </c>
      <c r="J132" s="49"/>
      <c r="K132" s="49" t="s">
        <v>94</v>
      </c>
      <c r="L132" s="49"/>
      <c r="M132" s="49"/>
      <c r="N132" s="49"/>
    </row>
    <row r="133" spans="1:14" ht="62.1" hidden="1">
      <c r="A133" s="136"/>
      <c r="B133" s="138"/>
      <c r="C133" s="47" t="s">
        <v>386</v>
      </c>
      <c r="D133" s="48" t="s">
        <v>387</v>
      </c>
      <c r="E133" s="48"/>
      <c r="F133" s="49" t="s">
        <v>21</v>
      </c>
      <c r="G133" s="49"/>
      <c r="H133" s="49"/>
      <c r="I133" s="49" t="s">
        <v>21</v>
      </c>
      <c r="J133" s="49"/>
      <c r="K133" s="49" t="s">
        <v>94</v>
      </c>
      <c r="L133" s="49"/>
      <c r="M133" s="49"/>
      <c r="N133" s="49"/>
    </row>
    <row r="134" spans="1:14" ht="30.95" hidden="1">
      <c r="A134" s="137"/>
      <c r="B134" s="139"/>
      <c r="C134" s="54" t="s">
        <v>388</v>
      </c>
      <c r="D134" s="55" t="s">
        <v>389</v>
      </c>
      <c r="E134" s="55"/>
      <c r="F134" s="56" t="s">
        <v>21</v>
      </c>
      <c r="G134" s="56"/>
      <c r="H134" s="56"/>
      <c r="I134" s="56" t="s">
        <v>21</v>
      </c>
      <c r="J134" s="56"/>
      <c r="K134" s="49" t="s">
        <v>94</v>
      </c>
      <c r="L134" s="49"/>
      <c r="M134" s="49"/>
      <c r="N134" s="49"/>
    </row>
    <row r="135" spans="1:14">
      <c r="A135" s="57"/>
      <c r="B135" s="43"/>
      <c r="C135" s="43"/>
      <c r="D135" s="57"/>
      <c r="E135" s="57"/>
      <c r="K135" s="58"/>
      <c r="L135" s="49"/>
      <c r="M135" s="49"/>
    </row>
    <row r="136" spans="1:14">
      <c r="A136" s="57"/>
      <c r="B136" s="43"/>
      <c r="C136" s="43"/>
      <c r="D136" s="57"/>
      <c r="E136" s="57"/>
      <c r="K136" s="58"/>
      <c r="L136" s="49"/>
      <c r="M136" s="49"/>
    </row>
    <row r="137" spans="1:14">
      <c r="A137" s="57"/>
      <c r="B137" s="43"/>
      <c r="C137" s="43"/>
      <c r="D137" s="57"/>
      <c r="E137" s="57"/>
      <c r="K137" s="58"/>
      <c r="L137" s="49"/>
      <c r="M137" s="49"/>
    </row>
    <row r="138" spans="1:14">
      <c r="A138" s="57"/>
      <c r="B138" s="43"/>
      <c r="C138" s="43"/>
      <c r="D138" s="57"/>
      <c r="E138" s="57"/>
      <c r="L138" s="50"/>
    </row>
    <row r="139" spans="1:14">
      <c r="A139" s="57"/>
      <c r="B139" s="43"/>
      <c r="C139" s="43"/>
      <c r="D139" s="57"/>
      <c r="E139" s="57"/>
      <c r="L139" s="49"/>
    </row>
    <row r="140" spans="1:14">
      <c r="A140" s="57"/>
      <c r="B140" s="43"/>
      <c r="C140" s="43"/>
      <c r="D140" s="57"/>
      <c r="E140" s="57"/>
      <c r="L140" s="49"/>
    </row>
    <row r="141" spans="1:14">
      <c r="A141" s="57"/>
      <c r="B141" s="43"/>
      <c r="C141" s="43"/>
      <c r="D141" s="57"/>
      <c r="E141" s="57"/>
      <c r="L141" s="49"/>
    </row>
    <row r="142" spans="1:14">
      <c r="A142" s="57"/>
      <c r="B142" s="43"/>
      <c r="C142" s="43"/>
      <c r="D142" s="57"/>
      <c r="E142" s="57"/>
      <c r="L142" s="49"/>
    </row>
    <row r="143" spans="1:14">
      <c r="A143" s="57"/>
      <c r="B143" s="43"/>
      <c r="C143" s="43"/>
      <c r="D143" s="57"/>
      <c r="E143" s="57"/>
      <c r="L143" s="49"/>
    </row>
    <row r="144" spans="1:14">
      <c r="A144" s="57"/>
      <c r="B144" s="43"/>
      <c r="C144" s="43"/>
      <c r="D144" s="57"/>
      <c r="E144" s="57"/>
      <c r="L144" s="49"/>
    </row>
    <row r="145" spans="1:12">
      <c r="A145" s="57"/>
      <c r="B145" s="43"/>
      <c r="C145" s="43"/>
      <c r="D145" s="57"/>
      <c r="E145" s="57"/>
      <c r="L145" s="49"/>
    </row>
    <row r="146" spans="1:12">
      <c r="A146" s="57"/>
      <c r="B146" s="43"/>
      <c r="C146" s="43"/>
      <c r="D146" s="57"/>
      <c r="E146" s="57"/>
      <c r="L146" s="49"/>
    </row>
    <row r="147" spans="1:12">
      <c r="A147" s="57"/>
      <c r="B147" s="43"/>
      <c r="C147" s="43"/>
      <c r="D147" s="57"/>
      <c r="E147" s="57"/>
      <c r="L147" s="49"/>
    </row>
    <row r="148" spans="1:12">
      <c r="A148" s="57"/>
      <c r="B148" s="43"/>
      <c r="C148" s="43"/>
      <c r="D148" s="57"/>
      <c r="E148" s="57"/>
      <c r="L148" s="49"/>
    </row>
    <row r="149" spans="1:12">
      <c r="A149" s="57"/>
      <c r="B149" s="43"/>
      <c r="C149" s="43"/>
      <c r="D149" s="57"/>
      <c r="E149" s="57"/>
      <c r="L149" s="49"/>
    </row>
    <row r="150" spans="1:12">
      <c r="A150" s="57"/>
      <c r="B150" s="43"/>
      <c r="C150" s="43"/>
      <c r="D150" s="57"/>
      <c r="E150" s="57"/>
      <c r="L150" s="49"/>
    </row>
    <row r="151" spans="1:12">
      <c r="A151" s="57"/>
      <c r="B151" s="43"/>
      <c r="C151" s="43"/>
      <c r="D151" s="57"/>
      <c r="E151" s="57"/>
      <c r="L151" s="49"/>
    </row>
    <row r="152" spans="1:12">
      <c r="A152" s="57"/>
      <c r="B152" s="43"/>
      <c r="C152" s="43"/>
      <c r="D152" s="57"/>
      <c r="E152" s="57"/>
      <c r="L152" s="49"/>
    </row>
    <row r="153" spans="1:12">
      <c r="A153" s="57"/>
      <c r="B153" s="43"/>
      <c r="C153" s="43"/>
      <c r="D153" s="57"/>
      <c r="E153" s="57"/>
      <c r="L153" s="49"/>
    </row>
    <row r="154" spans="1:12">
      <c r="A154" s="57"/>
      <c r="B154" s="43"/>
      <c r="C154" s="43"/>
      <c r="D154" s="57"/>
      <c r="E154" s="57"/>
      <c r="L154" s="49"/>
    </row>
    <row r="155" spans="1:12">
      <c r="A155" s="57"/>
      <c r="B155" s="43"/>
      <c r="C155" s="43"/>
      <c r="D155" s="57"/>
      <c r="E155" s="57"/>
      <c r="L155" s="49"/>
    </row>
    <row r="156" spans="1:12">
      <c r="A156" s="57"/>
      <c r="B156" s="43"/>
      <c r="C156" s="43"/>
      <c r="D156" s="57"/>
      <c r="E156" s="57"/>
      <c r="L156" s="49"/>
    </row>
    <row r="157" spans="1:12">
      <c r="A157" s="57"/>
      <c r="B157" s="43"/>
      <c r="C157" s="43"/>
      <c r="D157" s="57"/>
      <c r="E157" s="57"/>
      <c r="L157" s="49"/>
    </row>
    <row r="158" spans="1:12">
      <c r="A158" s="57"/>
      <c r="B158" s="43"/>
      <c r="C158" s="43"/>
      <c r="D158" s="57"/>
      <c r="E158" s="57"/>
      <c r="L158" s="49"/>
    </row>
    <row r="159" spans="1:12">
      <c r="A159" s="57"/>
      <c r="B159" s="43"/>
      <c r="C159" s="43"/>
      <c r="D159" s="57"/>
      <c r="E159" s="57"/>
      <c r="L159" s="49"/>
    </row>
    <row r="160" spans="1:12">
      <c r="A160" s="57"/>
      <c r="B160" s="43"/>
      <c r="C160" s="43"/>
      <c r="D160" s="57"/>
      <c r="E160" s="57"/>
      <c r="L160" s="49"/>
    </row>
    <row r="161" spans="1:12">
      <c r="A161" s="57"/>
      <c r="B161" s="43"/>
      <c r="C161" s="43"/>
      <c r="D161" s="57"/>
      <c r="E161" s="57"/>
      <c r="L161" s="49"/>
    </row>
    <row r="162" spans="1:12">
      <c r="A162" s="57"/>
      <c r="B162" s="43"/>
      <c r="C162" s="43"/>
      <c r="D162" s="57"/>
      <c r="E162" s="57"/>
      <c r="L162" s="49"/>
    </row>
    <row r="163" spans="1:12">
      <c r="A163" s="57"/>
      <c r="B163" s="43"/>
      <c r="C163" s="43"/>
      <c r="D163" s="57"/>
      <c r="E163" s="57"/>
      <c r="L163" s="49"/>
    </row>
    <row r="164" spans="1:12">
      <c r="A164" s="57"/>
      <c r="B164" s="43"/>
      <c r="C164" s="43"/>
      <c r="D164" s="57"/>
      <c r="E164" s="57"/>
      <c r="L164" s="49"/>
    </row>
    <row r="165" spans="1:12">
      <c r="A165" s="57"/>
      <c r="B165" s="43"/>
      <c r="C165" s="43"/>
      <c r="D165" s="57"/>
      <c r="E165" s="57"/>
      <c r="L165" s="49"/>
    </row>
    <row r="166" spans="1:12">
      <c r="A166" s="57"/>
      <c r="B166" s="43"/>
      <c r="C166" s="43"/>
      <c r="D166" s="57"/>
      <c r="E166" s="57"/>
      <c r="L166" s="49"/>
    </row>
    <row r="167" spans="1:12">
      <c r="A167" s="57"/>
      <c r="B167" s="43"/>
      <c r="C167" s="43"/>
      <c r="D167" s="57"/>
      <c r="E167" s="57"/>
      <c r="L167" s="49"/>
    </row>
    <row r="168" spans="1:12">
      <c r="A168" s="57"/>
      <c r="B168" s="43"/>
      <c r="C168" s="43"/>
      <c r="D168" s="57"/>
      <c r="E168" s="57"/>
      <c r="L168" s="49"/>
    </row>
    <row r="169" spans="1:12">
      <c r="A169" s="57"/>
      <c r="B169" s="43"/>
      <c r="C169" s="43"/>
      <c r="D169" s="57"/>
      <c r="E169" s="57"/>
      <c r="L169" s="49"/>
    </row>
    <row r="170" spans="1:12">
      <c r="A170" s="57"/>
      <c r="B170" s="43"/>
      <c r="C170" s="43"/>
      <c r="D170" s="57"/>
      <c r="E170" s="57"/>
      <c r="L170" s="49"/>
    </row>
    <row r="171" spans="1:12">
      <c r="A171" s="57"/>
      <c r="B171" s="43"/>
      <c r="C171" s="43"/>
      <c r="D171" s="57"/>
      <c r="E171" s="57"/>
      <c r="L171" s="49"/>
    </row>
    <row r="172" spans="1:12">
      <c r="A172" s="57"/>
      <c r="B172" s="43"/>
      <c r="C172" s="43"/>
      <c r="D172" s="57"/>
      <c r="E172" s="57"/>
      <c r="L172" s="49"/>
    </row>
    <row r="173" spans="1:12">
      <c r="A173" s="57"/>
      <c r="B173" s="43"/>
      <c r="C173" s="43"/>
      <c r="D173" s="57"/>
      <c r="E173" s="57"/>
      <c r="L173" s="49"/>
    </row>
    <row r="174" spans="1:12">
      <c r="A174" s="57"/>
      <c r="B174" s="43"/>
      <c r="C174" s="43"/>
      <c r="D174" s="57"/>
      <c r="E174" s="57"/>
      <c r="L174" s="49"/>
    </row>
    <row r="175" spans="1:12">
      <c r="A175" s="57"/>
      <c r="B175" s="43"/>
      <c r="C175" s="43"/>
      <c r="D175" s="57"/>
      <c r="E175" s="57"/>
      <c r="L175" s="49"/>
    </row>
    <row r="176" spans="1:12">
      <c r="A176" s="57"/>
      <c r="B176" s="43"/>
      <c r="C176" s="43"/>
      <c r="D176" s="57"/>
      <c r="E176" s="57"/>
      <c r="L176" s="49"/>
    </row>
    <row r="177" spans="1:12">
      <c r="A177" s="57"/>
      <c r="B177" s="43"/>
      <c r="C177" s="43"/>
      <c r="D177" s="57"/>
      <c r="E177" s="57"/>
      <c r="L177" s="49"/>
    </row>
    <row r="178" spans="1:12">
      <c r="A178" s="57"/>
      <c r="B178" s="43"/>
      <c r="C178" s="43"/>
      <c r="D178" s="57"/>
      <c r="E178" s="57"/>
      <c r="L178" s="49"/>
    </row>
    <row r="179" spans="1:12">
      <c r="A179" s="57"/>
      <c r="B179" s="43"/>
      <c r="C179" s="43"/>
      <c r="D179" s="57"/>
      <c r="E179" s="57"/>
      <c r="L179" s="49"/>
    </row>
    <row r="180" spans="1:12">
      <c r="A180" s="57"/>
      <c r="B180" s="43"/>
      <c r="C180" s="43"/>
      <c r="D180" s="57"/>
      <c r="E180" s="57"/>
      <c r="L180" s="49"/>
    </row>
    <row r="181" spans="1:12">
      <c r="A181" s="57"/>
      <c r="B181" s="43"/>
      <c r="C181" s="43"/>
      <c r="D181" s="57"/>
      <c r="E181" s="57"/>
      <c r="L181" s="49"/>
    </row>
    <row r="182" spans="1:12">
      <c r="A182" s="57"/>
      <c r="B182" s="43"/>
      <c r="C182" s="43"/>
      <c r="D182" s="57"/>
      <c r="E182" s="57"/>
      <c r="L182" s="49"/>
    </row>
    <row r="183" spans="1:12">
      <c r="A183" s="57"/>
      <c r="B183" s="43"/>
      <c r="C183" s="43"/>
      <c r="D183" s="57"/>
      <c r="E183" s="57"/>
      <c r="L183" s="49"/>
    </row>
    <row r="184" spans="1:12">
      <c r="A184" s="57"/>
      <c r="B184" s="43"/>
      <c r="C184" s="43"/>
      <c r="D184" s="57"/>
      <c r="E184" s="57"/>
      <c r="L184" s="49"/>
    </row>
    <row r="185" spans="1:12">
      <c r="A185" s="57"/>
      <c r="B185" s="43"/>
      <c r="C185" s="43"/>
      <c r="D185" s="57"/>
      <c r="E185" s="57"/>
      <c r="L185" s="49"/>
    </row>
    <row r="186" spans="1:12">
      <c r="A186" s="57"/>
      <c r="B186" s="43"/>
      <c r="C186" s="43"/>
      <c r="D186" s="57"/>
      <c r="E186" s="57"/>
      <c r="L186" s="49"/>
    </row>
    <row r="187" spans="1:12">
      <c r="A187" s="57"/>
      <c r="B187" s="43"/>
      <c r="C187" s="43"/>
      <c r="D187" s="57"/>
      <c r="E187" s="57"/>
      <c r="L187" s="49"/>
    </row>
    <row r="188" spans="1:12">
      <c r="A188" s="57"/>
      <c r="B188" s="43"/>
      <c r="C188" s="43"/>
      <c r="D188" s="57"/>
      <c r="E188" s="57"/>
      <c r="L188" s="49"/>
    </row>
    <row r="189" spans="1:12">
      <c r="A189" s="57"/>
      <c r="B189" s="43"/>
      <c r="C189" s="43"/>
      <c r="D189" s="57"/>
      <c r="E189" s="57"/>
      <c r="L189" s="49"/>
    </row>
    <row r="190" spans="1:12">
      <c r="A190" s="57"/>
      <c r="B190" s="43"/>
      <c r="C190" s="43"/>
      <c r="D190" s="57"/>
      <c r="E190" s="57"/>
      <c r="L190" s="49"/>
    </row>
    <row r="191" spans="1:12">
      <c r="A191" s="57"/>
      <c r="B191" s="43"/>
      <c r="C191" s="43"/>
      <c r="D191" s="57"/>
      <c r="E191" s="57"/>
      <c r="L191" s="49"/>
    </row>
    <row r="192" spans="1:12">
      <c r="A192" s="57"/>
      <c r="B192" s="43"/>
      <c r="C192" s="43"/>
      <c r="D192" s="57"/>
      <c r="E192" s="57"/>
      <c r="L192" s="49"/>
    </row>
    <row r="193" spans="1:12">
      <c r="A193" s="57"/>
      <c r="B193" s="43"/>
      <c r="C193" s="43"/>
      <c r="D193" s="57"/>
      <c r="E193" s="57"/>
      <c r="L193" s="49"/>
    </row>
    <row r="194" spans="1:12">
      <c r="A194" s="57"/>
      <c r="B194" s="43"/>
      <c r="C194" s="43"/>
      <c r="D194" s="57"/>
      <c r="E194" s="57"/>
      <c r="L194" s="49"/>
    </row>
    <row r="195" spans="1:12">
      <c r="A195" s="57"/>
      <c r="B195" s="43"/>
      <c r="C195" s="43"/>
      <c r="D195" s="57"/>
      <c r="E195" s="57"/>
      <c r="L195" s="49"/>
    </row>
    <row r="196" spans="1:12">
      <c r="A196" s="57"/>
      <c r="B196" s="43"/>
      <c r="C196" s="43"/>
      <c r="D196" s="57"/>
      <c r="E196" s="57"/>
      <c r="L196" s="49"/>
    </row>
    <row r="197" spans="1:12">
      <c r="A197" s="57"/>
      <c r="B197" s="43"/>
      <c r="C197" s="43"/>
      <c r="D197" s="57"/>
      <c r="E197" s="57"/>
      <c r="L197" s="49"/>
    </row>
    <row r="198" spans="1:12">
      <c r="A198" s="57"/>
      <c r="B198" s="43"/>
      <c r="C198" s="43"/>
      <c r="D198" s="57"/>
      <c r="E198" s="57"/>
      <c r="L198" s="49"/>
    </row>
    <row r="199" spans="1:12">
      <c r="A199" s="57"/>
      <c r="B199" s="43"/>
      <c r="C199" s="43"/>
      <c r="D199" s="57"/>
      <c r="E199" s="57"/>
      <c r="L199" s="49"/>
    </row>
    <row r="200" spans="1:12">
      <c r="A200" s="57"/>
      <c r="B200" s="43"/>
      <c r="C200" s="43"/>
      <c r="D200" s="57"/>
      <c r="E200" s="57"/>
      <c r="L200" s="49"/>
    </row>
    <row r="201" spans="1:12">
      <c r="A201" s="57"/>
      <c r="B201" s="43"/>
      <c r="C201" s="43"/>
      <c r="D201" s="57"/>
      <c r="E201" s="57"/>
      <c r="L201" s="49"/>
    </row>
    <row r="202" spans="1:12">
      <c r="A202" s="57"/>
      <c r="B202" s="43"/>
      <c r="C202" s="43"/>
      <c r="D202" s="57"/>
      <c r="E202" s="57"/>
      <c r="L202" s="49"/>
    </row>
    <row r="203" spans="1:12">
      <c r="A203" s="57"/>
      <c r="B203" s="43"/>
      <c r="C203" s="43"/>
      <c r="D203" s="57"/>
      <c r="E203" s="57"/>
      <c r="L203" s="49"/>
    </row>
    <row r="204" spans="1:12">
      <c r="A204" s="57"/>
      <c r="B204" s="43"/>
      <c r="C204" s="43"/>
      <c r="D204" s="57"/>
      <c r="E204" s="57"/>
      <c r="L204" s="49"/>
    </row>
    <row r="205" spans="1:12">
      <c r="A205" s="57"/>
      <c r="B205" s="43"/>
      <c r="C205" s="43"/>
      <c r="D205" s="57"/>
      <c r="E205" s="57"/>
      <c r="L205" s="49"/>
    </row>
    <row r="206" spans="1:12">
      <c r="A206" s="57"/>
      <c r="B206" s="43"/>
      <c r="C206" s="43"/>
      <c r="D206" s="57"/>
      <c r="E206" s="57"/>
      <c r="L206" s="49"/>
    </row>
    <row r="207" spans="1:12">
      <c r="A207" s="57"/>
      <c r="B207" s="43"/>
      <c r="C207" s="43"/>
      <c r="D207" s="57"/>
      <c r="E207" s="57"/>
      <c r="L207" s="49"/>
    </row>
    <row r="208" spans="1:12">
      <c r="A208" s="57"/>
      <c r="B208" s="43"/>
      <c r="C208" s="43"/>
      <c r="D208" s="57"/>
      <c r="E208" s="57"/>
      <c r="L208" s="49"/>
    </row>
    <row r="209" spans="1:12">
      <c r="A209" s="57"/>
      <c r="B209" s="43"/>
      <c r="C209" s="43"/>
      <c r="D209" s="57"/>
      <c r="E209" s="57"/>
      <c r="L209" s="49"/>
    </row>
    <row r="210" spans="1:12">
      <c r="A210" s="57"/>
      <c r="B210" s="43"/>
      <c r="C210" s="43"/>
      <c r="D210" s="57"/>
      <c r="E210" s="57"/>
      <c r="L210" s="49"/>
    </row>
    <row r="211" spans="1:12">
      <c r="A211" s="57"/>
      <c r="B211" s="43"/>
      <c r="C211" s="43"/>
      <c r="D211" s="57"/>
      <c r="E211" s="57"/>
      <c r="L211" s="49"/>
    </row>
    <row r="212" spans="1:12">
      <c r="A212" s="57"/>
      <c r="B212" s="43"/>
      <c r="C212" s="43"/>
      <c r="D212" s="57"/>
      <c r="E212" s="57"/>
      <c r="L212" s="49"/>
    </row>
    <row r="213" spans="1:12">
      <c r="A213" s="57"/>
      <c r="B213" s="43"/>
      <c r="C213" s="43"/>
      <c r="D213" s="57"/>
      <c r="E213" s="57"/>
      <c r="L213" s="49"/>
    </row>
    <row r="214" spans="1:12">
      <c r="A214" s="57"/>
      <c r="B214" s="43"/>
      <c r="C214" s="43"/>
      <c r="D214" s="57"/>
      <c r="E214" s="57"/>
      <c r="L214" s="49"/>
    </row>
    <row r="215" spans="1:12">
      <c r="A215" s="57"/>
      <c r="B215" s="43"/>
      <c r="C215" s="43"/>
      <c r="D215" s="57"/>
      <c r="E215" s="57"/>
      <c r="L215" s="49"/>
    </row>
    <row r="216" spans="1:12">
      <c r="A216" s="57"/>
      <c r="B216" s="43"/>
      <c r="C216" s="43"/>
      <c r="D216" s="57"/>
      <c r="E216" s="57"/>
      <c r="L216" s="49"/>
    </row>
    <row r="217" spans="1:12">
      <c r="A217" s="57"/>
      <c r="B217" s="43"/>
      <c r="C217" s="43"/>
      <c r="D217" s="57"/>
      <c r="E217" s="57"/>
      <c r="L217" s="49"/>
    </row>
    <row r="218" spans="1:12">
      <c r="A218" s="57"/>
      <c r="B218" s="43"/>
      <c r="C218" s="43"/>
      <c r="D218" s="57"/>
      <c r="E218" s="57"/>
      <c r="L218" s="49"/>
    </row>
    <row r="219" spans="1:12">
      <c r="A219" s="57"/>
      <c r="B219" s="43"/>
      <c r="C219" s="43"/>
      <c r="D219" s="57"/>
      <c r="E219" s="57"/>
      <c r="L219" s="49"/>
    </row>
    <row r="220" spans="1:12">
      <c r="A220" s="57"/>
      <c r="B220" s="43"/>
      <c r="C220" s="43"/>
      <c r="D220" s="57"/>
      <c r="E220" s="57"/>
      <c r="L220" s="49"/>
    </row>
    <row r="221" spans="1:12">
      <c r="A221" s="57"/>
      <c r="B221" s="43"/>
      <c r="C221" s="43"/>
      <c r="D221" s="57"/>
      <c r="E221" s="57"/>
      <c r="L221" s="49"/>
    </row>
    <row r="222" spans="1:12">
      <c r="A222" s="57"/>
      <c r="B222" s="43"/>
      <c r="C222" s="43"/>
      <c r="D222" s="57"/>
      <c r="E222" s="57"/>
      <c r="L222" s="49"/>
    </row>
    <row r="223" spans="1:12">
      <c r="A223" s="57"/>
      <c r="B223" s="43"/>
      <c r="C223" s="43"/>
      <c r="D223" s="57"/>
      <c r="E223" s="57"/>
      <c r="L223" s="49"/>
    </row>
    <row r="224" spans="1:12">
      <c r="A224" s="57"/>
      <c r="B224" s="43"/>
      <c r="C224" s="43"/>
      <c r="D224" s="57"/>
      <c r="E224" s="57"/>
      <c r="L224" s="49"/>
    </row>
    <row r="225" spans="1:12">
      <c r="A225" s="57"/>
      <c r="B225" s="43"/>
      <c r="C225" s="43"/>
      <c r="D225" s="57"/>
      <c r="E225" s="57"/>
      <c r="L225" s="49"/>
    </row>
    <row r="226" spans="1:12">
      <c r="A226" s="57"/>
      <c r="B226" s="43"/>
      <c r="C226" s="43"/>
      <c r="D226" s="57"/>
      <c r="E226" s="57"/>
      <c r="L226" s="49"/>
    </row>
    <row r="227" spans="1:12">
      <c r="A227" s="57"/>
      <c r="B227" s="43"/>
      <c r="C227" s="43"/>
      <c r="D227" s="57"/>
      <c r="E227" s="57"/>
      <c r="L227" s="49"/>
    </row>
    <row r="228" spans="1:12">
      <c r="A228" s="57"/>
      <c r="B228" s="43"/>
      <c r="C228" s="43"/>
      <c r="D228" s="57"/>
      <c r="E228" s="57"/>
      <c r="L228" s="49"/>
    </row>
    <row r="229" spans="1:12">
      <c r="A229" s="57"/>
      <c r="B229" s="43"/>
      <c r="C229" s="43"/>
      <c r="D229" s="57"/>
      <c r="E229" s="57"/>
      <c r="L229" s="49"/>
    </row>
    <row r="230" spans="1:12">
      <c r="A230" s="57"/>
      <c r="B230" s="43"/>
      <c r="C230" s="43"/>
      <c r="D230" s="57"/>
      <c r="E230" s="57"/>
      <c r="L230" s="49"/>
    </row>
    <row r="231" spans="1:12">
      <c r="A231" s="57"/>
      <c r="B231" s="43"/>
      <c r="C231" s="43"/>
      <c r="D231" s="57"/>
      <c r="E231" s="57"/>
      <c r="L231" s="49"/>
    </row>
    <row r="232" spans="1:12">
      <c r="A232" s="57"/>
      <c r="B232" s="43"/>
      <c r="C232" s="43"/>
      <c r="D232" s="57"/>
      <c r="E232" s="57"/>
      <c r="L232" s="49"/>
    </row>
    <row r="233" spans="1:12">
      <c r="A233" s="57"/>
      <c r="B233" s="43"/>
      <c r="C233" s="43"/>
      <c r="D233" s="57"/>
      <c r="E233" s="57"/>
      <c r="L233" s="49"/>
    </row>
    <row r="234" spans="1:12">
      <c r="A234" s="57"/>
      <c r="B234" s="43"/>
      <c r="C234" s="43"/>
      <c r="D234" s="57"/>
      <c r="E234" s="57"/>
      <c r="L234" s="49"/>
    </row>
    <row r="235" spans="1:12">
      <c r="A235" s="57"/>
      <c r="B235" s="43"/>
      <c r="C235" s="43"/>
      <c r="D235" s="57"/>
      <c r="E235" s="57"/>
      <c r="L235" s="49"/>
    </row>
    <row r="236" spans="1:12">
      <c r="A236" s="57"/>
      <c r="B236" s="43"/>
      <c r="C236" s="43"/>
      <c r="D236" s="57"/>
      <c r="E236" s="57"/>
      <c r="L236" s="49"/>
    </row>
    <row r="237" spans="1:12">
      <c r="A237" s="57"/>
      <c r="B237" s="43"/>
      <c r="C237" s="43"/>
      <c r="D237" s="57"/>
      <c r="E237" s="57"/>
      <c r="L237" s="49"/>
    </row>
    <row r="238" spans="1:12">
      <c r="A238" s="57"/>
      <c r="B238" s="43"/>
      <c r="C238" s="43"/>
      <c r="D238" s="57"/>
      <c r="E238" s="57"/>
      <c r="L238" s="49"/>
    </row>
    <row r="239" spans="1:12">
      <c r="A239" s="57"/>
      <c r="B239" s="43"/>
      <c r="C239" s="43"/>
      <c r="D239" s="57"/>
      <c r="E239" s="57"/>
      <c r="L239" s="49"/>
    </row>
    <row r="240" spans="1:12">
      <c r="A240" s="57"/>
      <c r="B240" s="43"/>
      <c r="C240" s="43"/>
      <c r="D240" s="57"/>
      <c r="E240" s="57"/>
      <c r="L240" s="49"/>
    </row>
    <row r="241" spans="1:12">
      <c r="A241" s="57"/>
      <c r="B241" s="43"/>
      <c r="C241" s="43"/>
      <c r="D241" s="57"/>
      <c r="E241" s="57"/>
      <c r="L241" s="49"/>
    </row>
    <row r="242" spans="1:12">
      <c r="A242" s="57"/>
      <c r="B242" s="43"/>
      <c r="C242" s="43"/>
      <c r="D242" s="57"/>
      <c r="E242" s="57"/>
      <c r="L242" s="49"/>
    </row>
    <row r="243" spans="1:12">
      <c r="A243" s="57"/>
      <c r="B243" s="43"/>
      <c r="C243" s="43"/>
      <c r="D243" s="57"/>
      <c r="E243" s="57"/>
      <c r="L243" s="49"/>
    </row>
    <row r="244" spans="1:12">
      <c r="A244" s="57"/>
      <c r="B244" s="43"/>
      <c r="C244" s="43"/>
      <c r="D244" s="57"/>
      <c r="E244" s="57"/>
      <c r="L244" s="49"/>
    </row>
    <row r="245" spans="1:12">
      <c r="A245" s="57"/>
      <c r="B245" s="43"/>
      <c r="C245" s="43"/>
      <c r="D245" s="57"/>
      <c r="E245" s="57"/>
      <c r="L245" s="49"/>
    </row>
    <row r="246" spans="1:12">
      <c r="A246" s="57"/>
      <c r="B246" s="43"/>
      <c r="C246" s="43"/>
      <c r="D246" s="57"/>
      <c r="E246" s="57"/>
    </row>
    <row r="247" spans="1:12">
      <c r="A247" s="57"/>
      <c r="B247" s="43"/>
      <c r="C247" s="43"/>
      <c r="D247" s="57"/>
      <c r="E247" s="57"/>
    </row>
    <row r="248" spans="1:12">
      <c r="A248" s="57"/>
      <c r="B248" s="43"/>
      <c r="C248" s="43"/>
      <c r="D248" s="57"/>
      <c r="E248" s="57"/>
    </row>
    <row r="249" spans="1:12">
      <c r="A249" s="57"/>
      <c r="B249" s="43"/>
      <c r="C249" s="43"/>
      <c r="D249" s="57"/>
      <c r="E249" s="57"/>
    </row>
    <row r="250" spans="1:12">
      <c r="A250" s="57"/>
      <c r="B250" s="43"/>
      <c r="C250" s="43"/>
      <c r="D250" s="57"/>
      <c r="E250" s="57"/>
    </row>
    <row r="251" spans="1:12">
      <c r="A251" s="57"/>
      <c r="B251" s="43"/>
      <c r="C251" s="43"/>
      <c r="D251" s="57"/>
      <c r="E251" s="57"/>
    </row>
    <row r="252" spans="1:12">
      <c r="A252" s="57"/>
      <c r="B252" s="43"/>
      <c r="C252" s="43"/>
      <c r="D252" s="57"/>
      <c r="E252" s="57"/>
    </row>
    <row r="253" spans="1:12">
      <c r="A253" s="57"/>
      <c r="B253" s="43"/>
      <c r="C253" s="43"/>
      <c r="D253" s="57"/>
      <c r="E253" s="57"/>
    </row>
    <row r="254" spans="1:12">
      <c r="A254" s="57"/>
      <c r="B254" s="43"/>
      <c r="C254" s="43"/>
      <c r="D254" s="57"/>
      <c r="E254" s="57"/>
    </row>
    <row r="255" spans="1:12">
      <c r="A255" s="57"/>
      <c r="B255" s="43"/>
      <c r="C255" s="43"/>
      <c r="D255" s="57"/>
      <c r="E255" s="57"/>
    </row>
    <row r="256" spans="1:12">
      <c r="A256" s="57"/>
      <c r="B256" s="43"/>
      <c r="C256" s="43"/>
      <c r="D256" s="57"/>
      <c r="E256" s="57"/>
    </row>
    <row r="257" spans="1:5">
      <c r="A257" s="57"/>
      <c r="B257" s="43"/>
      <c r="C257" s="43"/>
      <c r="D257" s="57"/>
      <c r="E257" s="57"/>
    </row>
    <row r="258" spans="1:5">
      <c r="A258" s="57"/>
      <c r="B258" s="43"/>
      <c r="C258" s="43"/>
      <c r="D258" s="57"/>
      <c r="E258" s="57"/>
    </row>
    <row r="259" spans="1:5">
      <c r="A259" s="57"/>
      <c r="B259" s="43"/>
      <c r="C259" s="43"/>
      <c r="D259" s="57"/>
      <c r="E259" s="57"/>
    </row>
    <row r="260" spans="1:5">
      <c r="A260" s="57"/>
      <c r="B260" s="43"/>
      <c r="C260" s="43"/>
      <c r="D260" s="57"/>
      <c r="E260" s="57"/>
    </row>
    <row r="261" spans="1:5">
      <c r="A261" s="57"/>
      <c r="B261" s="43"/>
      <c r="C261" s="43"/>
      <c r="D261" s="57"/>
      <c r="E261" s="57"/>
    </row>
    <row r="262" spans="1:5">
      <c r="A262" s="57"/>
      <c r="B262" s="43"/>
      <c r="C262" s="43"/>
      <c r="D262" s="57"/>
      <c r="E262" s="57"/>
    </row>
    <row r="263" spans="1:5">
      <c r="A263" s="57"/>
      <c r="B263" s="43"/>
      <c r="C263" s="43"/>
      <c r="D263" s="57"/>
      <c r="E263" s="57"/>
    </row>
    <row r="264" spans="1:5">
      <c r="A264" s="57"/>
      <c r="B264" s="43"/>
      <c r="C264" s="43"/>
      <c r="D264" s="57"/>
      <c r="E264" s="57"/>
    </row>
    <row r="265" spans="1:5">
      <c r="A265" s="57"/>
      <c r="B265" s="43"/>
      <c r="C265" s="43"/>
      <c r="D265" s="57"/>
      <c r="E265" s="57"/>
    </row>
    <row r="266" spans="1:5">
      <c r="A266" s="57"/>
      <c r="B266" s="43"/>
      <c r="C266" s="43"/>
      <c r="D266" s="57"/>
      <c r="E266" s="57"/>
    </row>
    <row r="267" spans="1:5">
      <c r="A267" s="57"/>
      <c r="B267" s="43"/>
      <c r="C267" s="43"/>
      <c r="D267" s="57"/>
      <c r="E267" s="57"/>
    </row>
    <row r="268" spans="1:5">
      <c r="A268" s="57"/>
      <c r="B268" s="43"/>
      <c r="C268" s="43"/>
      <c r="D268" s="57"/>
      <c r="E268" s="57"/>
    </row>
    <row r="269" spans="1:5">
      <c r="A269" s="57"/>
      <c r="B269" s="43"/>
      <c r="C269" s="43"/>
      <c r="D269" s="57"/>
      <c r="E269" s="57"/>
    </row>
    <row r="270" spans="1:5">
      <c r="A270" s="57"/>
      <c r="B270" s="43"/>
      <c r="C270" s="43"/>
      <c r="D270" s="57"/>
      <c r="E270" s="57"/>
    </row>
    <row r="271" spans="1:5">
      <c r="A271" s="57"/>
      <c r="B271" s="43"/>
      <c r="C271" s="43"/>
      <c r="D271" s="57"/>
      <c r="E271" s="57"/>
    </row>
    <row r="272" spans="1:5">
      <c r="A272" s="57"/>
      <c r="B272" s="43"/>
      <c r="C272" s="43"/>
      <c r="D272" s="57"/>
      <c r="E272" s="57"/>
    </row>
    <row r="273" spans="1:5">
      <c r="A273" s="57"/>
      <c r="B273" s="43"/>
      <c r="C273" s="43"/>
      <c r="D273" s="57"/>
      <c r="E273" s="57"/>
    </row>
    <row r="274" spans="1:5">
      <c r="A274" s="57"/>
      <c r="B274" s="43"/>
      <c r="C274" s="43"/>
      <c r="D274" s="57"/>
      <c r="E274" s="57"/>
    </row>
    <row r="275" spans="1:5">
      <c r="A275" s="57"/>
      <c r="B275" s="43"/>
      <c r="C275" s="43"/>
      <c r="D275" s="57"/>
      <c r="E275" s="57"/>
    </row>
    <row r="276" spans="1:5">
      <c r="A276" s="57"/>
      <c r="B276" s="43"/>
      <c r="C276" s="43"/>
      <c r="D276" s="57"/>
      <c r="E276" s="57"/>
    </row>
    <row r="277" spans="1:5">
      <c r="A277" s="57"/>
      <c r="B277" s="43"/>
      <c r="C277" s="43"/>
      <c r="D277" s="57"/>
      <c r="E277" s="57"/>
    </row>
    <row r="278" spans="1:5">
      <c r="A278" s="57"/>
      <c r="B278" s="43"/>
      <c r="C278" s="43"/>
      <c r="D278" s="57"/>
      <c r="E278" s="57"/>
    </row>
    <row r="279" spans="1:5">
      <c r="A279" s="57"/>
      <c r="B279" s="43"/>
      <c r="C279" s="43"/>
      <c r="D279" s="57"/>
      <c r="E279" s="57"/>
    </row>
    <row r="280" spans="1:5">
      <c r="A280" s="57"/>
      <c r="B280" s="43"/>
      <c r="C280" s="43"/>
      <c r="D280" s="57"/>
      <c r="E280" s="57"/>
    </row>
    <row r="281" spans="1:5">
      <c r="A281" s="57"/>
      <c r="B281" s="43"/>
      <c r="C281" s="43"/>
      <c r="D281" s="57"/>
      <c r="E281" s="57"/>
    </row>
    <row r="282" spans="1:5">
      <c r="A282" s="57"/>
      <c r="B282" s="43"/>
      <c r="C282" s="43"/>
      <c r="D282" s="57"/>
      <c r="E282" s="57"/>
    </row>
    <row r="283" spans="1:5">
      <c r="A283" s="57"/>
      <c r="B283" s="43"/>
      <c r="C283" s="43"/>
      <c r="D283" s="57"/>
      <c r="E283" s="57"/>
    </row>
    <row r="284" spans="1:5">
      <c r="A284" s="57"/>
      <c r="B284" s="43"/>
      <c r="C284" s="43"/>
      <c r="D284" s="57"/>
      <c r="E284" s="57"/>
    </row>
    <row r="285" spans="1:5">
      <c r="A285" s="57"/>
      <c r="B285" s="43"/>
      <c r="C285" s="43"/>
      <c r="D285" s="57"/>
      <c r="E285" s="57"/>
    </row>
    <row r="286" spans="1:5">
      <c r="A286" s="57"/>
      <c r="B286" s="43"/>
      <c r="C286" s="43"/>
      <c r="D286" s="57"/>
      <c r="E286" s="57"/>
    </row>
    <row r="287" spans="1:5">
      <c r="A287" s="57"/>
      <c r="B287" s="43"/>
      <c r="C287" s="43"/>
      <c r="D287" s="57"/>
      <c r="E287" s="57"/>
    </row>
    <row r="288" spans="1:5">
      <c r="A288" s="57"/>
      <c r="B288" s="43"/>
      <c r="C288" s="43"/>
      <c r="D288" s="57"/>
      <c r="E288" s="57"/>
    </row>
    <row r="289" spans="1:5">
      <c r="A289" s="57"/>
      <c r="B289" s="43"/>
      <c r="C289" s="43"/>
      <c r="D289" s="57"/>
      <c r="E289" s="57"/>
    </row>
    <row r="290" spans="1:5">
      <c r="A290" s="57"/>
      <c r="B290" s="43"/>
      <c r="C290" s="43"/>
      <c r="D290" s="57"/>
      <c r="E290" s="57"/>
    </row>
    <row r="291" spans="1:5">
      <c r="A291" s="57"/>
      <c r="B291" s="43"/>
      <c r="C291" s="43"/>
      <c r="D291" s="57"/>
      <c r="E291" s="57"/>
    </row>
    <row r="292" spans="1:5">
      <c r="A292" s="57"/>
      <c r="B292" s="43"/>
      <c r="C292" s="43"/>
      <c r="D292" s="57"/>
      <c r="E292" s="57"/>
    </row>
    <row r="293" spans="1:5">
      <c r="A293" s="57"/>
      <c r="B293" s="43"/>
      <c r="C293" s="43"/>
      <c r="D293" s="57"/>
      <c r="E293" s="57"/>
    </row>
    <row r="294" spans="1:5">
      <c r="A294" s="57"/>
      <c r="B294" s="43"/>
      <c r="C294" s="43"/>
      <c r="D294" s="57"/>
      <c r="E294" s="57"/>
    </row>
    <row r="295" spans="1:5">
      <c r="A295" s="57"/>
      <c r="B295" s="43"/>
      <c r="C295" s="43"/>
      <c r="D295" s="57"/>
      <c r="E295" s="57"/>
    </row>
    <row r="296" spans="1:5">
      <c r="A296" s="57"/>
      <c r="B296" s="43"/>
      <c r="C296" s="43"/>
      <c r="D296" s="57"/>
      <c r="E296" s="57"/>
    </row>
    <row r="297" spans="1:5">
      <c r="A297" s="57"/>
      <c r="B297" s="43"/>
      <c r="C297" s="43"/>
      <c r="D297" s="57"/>
      <c r="E297" s="57"/>
    </row>
    <row r="298" spans="1:5">
      <c r="A298" s="57"/>
      <c r="B298" s="43"/>
      <c r="C298" s="43"/>
      <c r="D298" s="57"/>
      <c r="E298" s="57"/>
    </row>
    <row r="299" spans="1:5">
      <c r="A299" s="57"/>
      <c r="B299" s="43"/>
      <c r="C299" s="43"/>
      <c r="D299" s="57"/>
      <c r="E299" s="57"/>
    </row>
    <row r="300" spans="1:5">
      <c r="A300" s="57"/>
      <c r="B300" s="43"/>
      <c r="C300" s="43"/>
      <c r="D300" s="57"/>
      <c r="E300" s="57"/>
    </row>
    <row r="301" spans="1:5">
      <c r="A301" s="57"/>
      <c r="B301" s="43"/>
      <c r="C301" s="43"/>
      <c r="D301" s="57"/>
      <c r="E301" s="57"/>
    </row>
    <row r="302" spans="1:5">
      <c r="A302" s="57"/>
      <c r="B302" s="43"/>
      <c r="C302" s="43"/>
      <c r="D302" s="57"/>
      <c r="E302" s="57"/>
    </row>
    <row r="303" spans="1:5">
      <c r="A303" s="57"/>
      <c r="B303" s="43"/>
      <c r="C303" s="43"/>
      <c r="D303" s="57"/>
      <c r="E303" s="57"/>
    </row>
    <row r="304" spans="1:5">
      <c r="A304" s="57"/>
      <c r="B304" s="43"/>
      <c r="C304" s="43"/>
      <c r="D304" s="57"/>
      <c r="E304" s="57"/>
    </row>
    <row r="305" spans="1:5">
      <c r="A305" s="57"/>
      <c r="B305" s="43"/>
      <c r="C305" s="43"/>
      <c r="D305" s="57"/>
      <c r="E305" s="57"/>
    </row>
    <row r="306" spans="1:5">
      <c r="A306" s="57"/>
      <c r="B306" s="43"/>
      <c r="C306" s="43"/>
      <c r="D306" s="57"/>
      <c r="E306" s="57"/>
    </row>
    <row r="307" spans="1:5">
      <c r="A307" s="57"/>
      <c r="B307" s="43"/>
      <c r="C307" s="43"/>
      <c r="D307" s="57"/>
      <c r="E307" s="57"/>
    </row>
    <row r="308" spans="1:5">
      <c r="A308" s="57"/>
      <c r="B308" s="43"/>
      <c r="C308" s="43"/>
      <c r="D308" s="57"/>
      <c r="E308" s="57"/>
    </row>
    <row r="309" spans="1:5">
      <c r="A309" s="57"/>
      <c r="B309" s="43"/>
      <c r="C309" s="43"/>
      <c r="D309" s="57"/>
      <c r="E309" s="57"/>
    </row>
    <row r="310" spans="1:5">
      <c r="A310" s="57"/>
      <c r="B310" s="43"/>
      <c r="C310" s="43"/>
      <c r="D310" s="57"/>
      <c r="E310" s="57"/>
    </row>
    <row r="311" spans="1:5">
      <c r="A311" s="57"/>
      <c r="B311" s="43"/>
      <c r="C311" s="43"/>
      <c r="D311" s="57"/>
      <c r="E311" s="57"/>
    </row>
    <row r="312" spans="1:5">
      <c r="A312" s="57"/>
      <c r="B312" s="43"/>
      <c r="C312" s="43"/>
      <c r="D312" s="57"/>
      <c r="E312" s="57"/>
    </row>
    <row r="313" spans="1:5">
      <c r="A313" s="57"/>
      <c r="B313" s="43"/>
      <c r="C313" s="43"/>
      <c r="D313" s="57"/>
      <c r="E313" s="57"/>
    </row>
    <row r="314" spans="1:5">
      <c r="A314" s="57"/>
      <c r="B314" s="43"/>
      <c r="C314" s="43"/>
      <c r="D314" s="57"/>
      <c r="E314" s="57"/>
    </row>
    <row r="315" spans="1:5">
      <c r="A315" s="57"/>
      <c r="B315" s="43"/>
      <c r="C315" s="43"/>
      <c r="D315" s="57"/>
      <c r="E315" s="57"/>
    </row>
    <row r="316" spans="1:5">
      <c r="A316" s="57"/>
      <c r="B316" s="43"/>
      <c r="C316" s="43"/>
      <c r="D316" s="57"/>
      <c r="E316" s="57"/>
    </row>
    <row r="317" spans="1:5">
      <c r="A317" s="57"/>
      <c r="B317" s="43"/>
      <c r="C317" s="43"/>
      <c r="D317" s="57"/>
      <c r="E317" s="57"/>
    </row>
    <row r="318" spans="1:5">
      <c r="A318" s="57"/>
      <c r="B318" s="43"/>
      <c r="C318" s="43"/>
      <c r="D318" s="57"/>
      <c r="E318" s="57"/>
    </row>
    <row r="319" spans="1:5">
      <c r="A319" s="57"/>
      <c r="B319" s="43"/>
      <c r="C319" s="43"/>
      <c r="D319" s="57"/>
      <c r="E319" s="57"/>
    </row>
    <row r="320" spans="1:5">
      <c r="A320" s="57"/>
      <c r="B320" s="43"/>
      <c r="C320" s="43"/>
      <c r="D320" s="57"/>
      <c r="E320" s="57"/>
    </row>
    <row r="321" spans="1:5">
      <c r="A321" s="57"/>
      <c r="B321" s="43"/>
      <c r="C321" s="43"/>
      <c r="D321" s="57"/>
      <c r="E321" s="57"/>
    </row>
    <row r="322" spans="1:5">
      <c r="A322" s="57"/>
      <c r="B322" s="43"/>
      <c r="C322" s="43"/>
      <c r="D322" s="57"/>
      <c r="E322" s="57"/>
    </row>
    <row r="323" spans="1:5">
      <c r="A323" s="57"/>
      <c r="B323" s="43"/>
      <c r="C323" s="43"/>
      <c r="D323" s="57"/>
      <c r="E323" s="57"/>
    </row>
    <row r="324" spans="1:5">
      <c r="A324" s="57"/>
      <c r="B324" s="43"/>
      <c r="C324" s="43"/>
      <c r="D324" s="57"/>
      <c r="E324" s="57"/>
    </row>
    <row r="325" spans="1:5">
      <c r="A325" s="57"/>
      <c r="B325" s="43"/>
      <c r="C325" s="43"/>
      <c r="D325" s="57"/>
      <c r="E325" s="57"/>
    </row>
    <row r="326" spans="1:5">
      <c r="A326" s="57"/>
      <c r="B326" s="43"/>
      <c r="C326" s="43"/>
      <c r="D326" s="57"/>
      <c r="E326" s="57"/>
    </row>
    <row r="327" spans="1:5">
      <c r="A327" s="57"/>
      <c r="B327" s="43"/>
      <c r="C327" s="43"/>
      <c r="D327" s="57"/>
      <c r="E327" s="57"/>
    </row>
    <row r="328" spans="1:5">
      <c r="A328" s="57"/>
      <c r="B328" s="43"/>
      <c r="C328" s="43"/>
      <c r="D328" s="57"/>
      <c r="E328" s="57"/>
    </row>
    <row r="329" spans="1:5">
      <c r="A329" s="57"/>
      <c r="B329" s="43"/>
      <c r="C329" s="43"/>
      <c r="D329" s="57"/>
      <c r="E329" s="57"/>
    </row>
    <row r="330" spans="1:5">
      <c r="A330" s="57"/>
      <c r="B330" s="43"/>
      <c r="C330" s="43"/>
      <c r="D330" s="57"/>
      <c r="E330" s="57"/>
    </row>
    <row r="331" spans="1:5">
      <c r="A331" s="57"/>
      <c r="B331" s="43"/>
      <c r="C331" s="43"/>
      <c r="D331" s="57"/>
      <c r="E331" s="57"/>
    </row>
    <row r="332" spans="1:5">
      <c r="A332" s="57"/>
      <c r="B332" s="43"/>
      <c r="C332" s="43"/>
      <c r="D332" s="57"/>
      <c r="E332" s="57"/>
    </row>
    <row r="333" spans="1:5">
      <c r="A333" s="57"/>
      <c r="B333" s="43"/>
      <c r="C333" s="43"/>
      <c r="D333" s="57"/>
      <c r="E333" s="57"/>
    </row>
    <row r="334" spans="1:5">
      <c r="A334" s="57"/>
      <c r="B334" s="43"/>
      <c r="C334" s="43"/>
      <c r="D334" s="57"/>
      <c r="E334" s="57"/>
    </row>
    <row r="335" spans="1:5">
      <c r="A335" s="57"/>
      <c r="B335" s="43"/>
      <c r="C335" s="43"/>
      <c r="D335" s="57"/>
      <c r="E335" s="57"/>
    </row>
    <row r="336" spans="1:5">
      <c r="A336" s="57"/>
      <c r="B336" s="43"/>
      <c r="C336" s="43"/>
      <c r="D336" s="57"/>
      <c r="E336" s="57"/>
    </row>
    <row r="337" spans="1:5">
      <c r="A337" s="57"/>
      <c r="B337" s="43"/>
      <c r="C337" s="43"/>
      <c r="D337" s="57"/>
      <c r="E337" s="57"/>
    </row>
    <row r="338" spans="1:5">
      <c r="A338" s="57"/>
      <c r="B338" s="43"/>
      <c r="C338" s="43"/>
      <c r="D338" s="57"/>
      <c r="E338" s="57"/>
    </row>
    <row r="339" spans="1:5">
      <c r="A339" s="57"/>
      <c r="B339" s="43"/>
      <c r="C339" s="43"/>
      <c r="D339" s="57"/>
      <c r="E339" s="57"/>
    </row>
    <row r="340" spans="1:5">
      <c r="A340" s="57"/>
      <c r="B340" s="43"/>
      <c r="C340" s="43"/>
      <c r="D340" s="57"/>
      <c r="E340" s="57"/>
    </row>
    <row r="341" spans="1:5">
      <c r="A341" s="57"/>
      <c r="B341" s="43"/>
      <c r="C341" s="43"/>
      <c r="D341" s="57"/>
      <c r="E341" s="57"/>
    </row>
    <row r="342" spans="1:5">
      <c r="A342" s="57"/>
      <c r="B342" s="43"/>
      <c r="C342" s="43"/>
      <c r="D342" s="57"/>
      <c r="E342" s="57"/>
    </row>
    <row r="343" spans="1:5">
      <c r="A343" s="57"/>
      <c r="B343" s="43"/>
      <c r="C343" s="43"/>
      <c r="D343" s="57"/>
      <c r="E343" s="57"/>
    </row>
    <row r="344" spans="1:5">
      <c r="A344" s="57"/>
      <c r="B344" s="43"/>
      <c r="C344" s="43"/>
      <c r="D344" s="57"/>
      <c r="E344" s="57"/>
    </row>
    <row r="345" spans="1:5">
      <c r="A345" s="57"/>
      <c r="B345" s="43"/>
      <c r="C345" s="43"/>
      <c r="D345" s="57"/>
      <c r="E345" s="57"/>
    </row>
    <row r="346" spans="1:5">
      <c r="A346" s="57"/>
      <c r="B346" s="43"/>
      <c r="C346" s="43"/>
      <c r="D346" s="57"/>
      <c r="E346" s="57"/>
    </row>
    <row r="347" spans="1:5">
      <c r="A347" s="57"/>
      <c r="B347" s="43"/>
      <c r="C347" s="43"/>
      <c r="D347" s="57"/>
      <c r="E347" s="57"/>
    </row>
    <row r="348" spans="1:5">
      <c r="A348" s="57"/>
      <c r="B348" s="43"/>
      <c r="C348" s="43"/>
      <c r="D348" s="57"/>
      <c r="E348" s="57"/>
    </row>
    <row r="349" spans="1:5">
      <c r="A349" s="57"/>
      <c r="B349" s="43"/>
      <c r="C349" s="43"/>
      <c r="D349" s="57"/>
      <c r="E349" s="57"/>
    </row>
    <row r="350" spans="1:5">
      <c r="A350" s="57"/>
      <c r="B350" s="43"/>
      <c r="C350" s="43"/>
      <c r="D350" s="57"/>
      <c r="E350" s="57"/>
    </row>
    <row r="351" spans="1:5">
      <c r="A351" s="57"/>
      <c r="B351" s="43"/>
      <c r="C351" s="43"/>
      <c r="D351" s="57"/>
      <c r="E351" s="57"/>
    </row>
    <row r="352" spans="1:5">
      <c r="A352" s="57"/>
      <c r="B352" s="43"/>
      <c r="C352" s="43"/>
      <c r="D352" s="57"/>
      <c r="E352" s="57"/>
    </row>
    <row r="353" spans="1:5">
      <c r="A353" s="57"/>
      <c r="B353" s="43"/>
      <c r="C353" s="43"/>
      <c r="D353" s="57"/>
      <c r="E353" s="57"/>
    </row>
    <row r="354" spans="1:5">
      <c r="A354" s="57"/>
      <c r="B354" s="43"/>
      <c r="C354" s="43"/>
      <c r="D354" s="57"/>
      <c r="E354" s="57"/>
    </row>
    <row r="355" spans="1:5">
      <c r="A355" s="57"/>
      <c r="B355" s="43"/>
      <c r="C355" s="43"/>
      <c r="D355" s="57"/>
      <c r="E355" s="57"/>
    </row>
    <row r="356" spans="1:5">
      <c r="A356" s="57"/>
      <c r="B356" s="43"/>
      <c r="C356" s="43"/>
      <c r="D356" s="57"/>
      <c r="E356" s="57"/>
    </row>
    <row r="357" spans="1:5">
      <c r="A357" s="57"/>
      <c r="B357" s="43"/>
      <c r="C357" s="43"/>
      <c r="D357" s="57"/>
      <c r="E357" s="57"/>
    </row>
    <row r="358" spans="1:5">
      <c r="A358" s="57"/>
      <c r="B358" s="43"/>
      <c r="C358" s="43"/>
      <c r="D358" s="57"/>
      <c r="E358" s="57"/>
    </row>
    <row r="359" spans="1:5">
      <c r="A359" s="57"/>
      <c r="B359" s="43"/>
      <c r="C359" s="43"/>
      <c r="D359" s="57"/>
      <c r="E359" s="57"/>
    </row>
    <row r="360" spans="1:5">
      <c r="A360" s="57"/>
      <c r="B360" s="43"/>
      <c r="C360" s="43"/>
      <c r="D360" s="57"/>
      <c r="E360" s="57"/>
    </row>
    <row r="361" spans="1:5">
      <c r="A361" s="57"/>
      <c r="B361" s="43"/>
      <c r="C361" s="43"/>
      <c r="D361" s="57"/>
      <c r="E361" s="57"/>
    </row>
    <row r="362" spans="1:5">
      <c r="A362" s="57"/>
      <c r="B362" s="43"/>
      <c r="C362" s="43"/>
      <c r="D362" s="57"/>
      <c r="E362" s="57"/>
    </row>
    <row r="363" spans="1:5">
      <c r="A363" s="57"/>
      <c r="B363" s="43"/>
      <c r="C363" s="43"/>
      <c r="D363" s="57"/>
      <c r="E363" s="57"/>
    </row>
    <row r="364" spans="1:5">
      <c r="A364" s="57"/>
      <c r="B364" s="43"/>
      <c r="C364" s="43"/>
      <c r="D364" s="57"/>
      <c r="E364" s="57"/>
    </row>
    <row r="365" spans="1:5">
      <c r="A365" s="57"/>
      <c r="B365" s="43"/>
      <c r="C365" s="43"/>
      <c r="D365" s="57"/>
      <c r="E365" s="57"/>
    </row>
    <row r="366" spans="1:5">
      <c r="A366" s="57"/>
      <c r="B366" s="43"/>
      <c r="C366" s="43"/>
      <c r="D366" s="57"/>
      <c r="E366" s="57"/>
    </row>
    <row r="367" spans="1:5">
      <c r="A367" s="57"/>
      <c r="B367" s="43"/>
      <c r="C367" s="43"/>
      <c r="D367" s="57"/>
      <c r="E367" s="57"/>
    </row>
    <row r="368" spans="1:5">
      <c r="A368" s="57"/>
      <c r="B368" s="43"/>
      <c r="C368" s="43"/>
      <c r="D368" s="57"/>
      <c r="E368" s="57"/>
    </row>
    <row r="369" spans="1:5">
      <c r="A369" s="57"/>
      <c r="B369" s="43"/>
      <c r="C369" s="43"/>
      <c r="D369" s="57"/>
      <c r="E369" s="57"/>
    </row>
    <row r="370" spans="1:5">
      <c r="A370" s="57"/>
      <c r="B370" s="43"/>
      <c r="C370" s="43"/>
      <c r="D370" s="57"/>
      <c r="E370" s="57"/>
    </row>
    <row r="371" spans="1:5">
      <c r="A371" s="57"/>
      <c r="B371" s="43"/>
      <c r="C371" s="43"/>
      <c r="D371" s="57"/>
      <c r="E371" s="57"/>
    </row>
    <row r="372" spans="1:5">
      <c r="A372" s="57"/>
      <c r="B372" s="43"/>
      <c r="C372" s="43"/>
      <c r="D372" s="57"/>
      <c r="E372" s="57"/>
    </row>
    <row r="373" spans="1:5">
      <c r="A373" s="57"/>
      <c r="B373" s="43"/>
      <c r="C373" s="43"/>
      <c r="D373" s="57"/>
      <c r="E373" s="57"/>
    </row>
    <row r="374" spans="1:5">
      <c r="A374" s="57"/>
      <c r="B374" s="43"/>
      <c r="C374" s="43"/>
      <c r="D374" s="57"/>
      <c r="E374" s="57"/>
    </row>
    <row r="375" spans="1:5">
      <c r="A375" s="57"/>
      <c r="B375" s="43"/>
      <c r="C375" s="43"/>
      <c r="D375" s="57"/>
      <c r="E375" s="57"/>
    </row>
    <row r="376" spans="1:5">
      <c r="A376" s="57"/>
      <c r="B376" s="43"/>
      <c r="C376" s="43"/>
      <c r="D376" s="57"/>
      <c r="E376" s="57"/>
    </row>
    <row r="377" spans="1:5">
      <c r="A377" s="57"/>
      <c r="B377" s="43"/>
      <c r="C377" s="43"/>
      <c r="D377" s="57"/>
      <c r="E377" s="57"/>
    </row>
    <row r="378" spans="1:5">
      <c r="A378" s="57"/>
      <c r="B378" s="43"/>
      <c r="C378" s="43"/>
      <c r="D378" s="57"/>
      <c r="E378" s="57"/>
    </row>
    <row r="379" spans="1:5">
      <c r="A379" s="57"/>
      <c r="B379" s="43"/>
      <c r="C379" s="43"/>
      <c r="D379" s="57"/>
      <c r="E379" s="57"/>
    </row>
    <row r="380" spans="1:5">
      <c r="A380" s="57"/>
      <c r="B380" s="43"/>
      <c r="C380" s="43"/>
      <c r="D380" s="57"/>
      <c r="E380" s="57"/>
    </row>
    <row r="381" spans="1:5">
      <c r="A381" s="57"/>
      <c r="B381" s="43"/>
      <c r="C381" s="43"/>
      <c r="D381" s="57"/>
      <c r="E381" s="57"/>
    </row>
    <row r="382" spans="1:5">
      <c r="A382" s="57"/>
      <c r="B382" s="43"/>
      <c r="C382" s="43"/>
      <c r="D382" s="57"/>
      <c r="E382" s="57"/>
    </row>
    <row r="383" spans="1:5">
      <c r="A383" s="57"/>
      <c r="B383" s="43"/>
      <c r="C383" s="43"/>
      <c r="D383" s="57"/>
      <c r="E383" s="57"/>
    </row>
    <row r="384" spans="1:5">
      <c r="A384" s="57"/>
      <c r="B384" s="43"/>
      <c r="C384" s="43"/>
      <c r="D384" s="57"/>
      <c r="E384" s="57"/>
    </row>
    <row r="385" spans="1:5">
      <c r="A385" s="57"/>
      <c r="B385" s="43"/>
      <c r="C385" s="43"/>
      <c r="D385" s="57"/>
      <c r="E385" s="57"/>
    </row>
    <row r="386" spans="1:5">
      <c r="A386" s="57"/>
      <c r="B386" s="43"/>
      <c r="C386" s="43"/>
      <c r="D386" s="57"/>
      <c r="E386" s="57"/>
    </row>
    <row r="387" spans="1:5">
      <c r="A387" s="57"/>
      <c r="B387" s="43"/>
      <c r="C387" s="43"/>
      <c r="D387" s="57"/>
      <c r="E387" s="57"/>
    </row>
    <row r="388" spans="1:5">
      <c r="A388" s="57"/>
      <c r="B388" s="43"/>
      <c r="C388" s="43"/>
      <c r="D388" s="57"/>
      <c r="E388" s="57"/>
    </row>
    <row r="389" spans="1:5">
      <c r="A389" s="57"/>
      <c r="B389" s="43"/>
      <c r="C389" s="43"/>
      <c r="D389" s="57"/>
      <c r="E389" s="57"/>
    </row>
    <row r="390" spans="1:5">
      <c r="A390" s="57"/>
      <c r="B390" s="43"/>
      <c r="C390" s="43"/>
      <c r="D390" s="57"/>
      <c r="E390" s="57"/>
    </row>
    <row r="391" spans="1:5">
      <c r="A391" s="57"/>
      <c r="B391" s="43"/>
      <c r="C391" s="43"/>
      <c r="D391" s="57"/>
      <c r="E391" s="57"/>
    </row>
    <row r="392" spans="1:5">
      <c r="A392" s="57"/>
      <c r="B392" s="43"/>
      <c r="C392" s="43"/>
      <c r="D392" s="57"/>
      <c r="E392" s="57"/>
    </row>
    <row r="393" spans="1:5">
      <c r="A393" s="57"/>
      <c r="B393" s="43"/>
      <c r="C393" s="43"/>
      <c r="D393" s="57"/>
      <c r="E393" s="57"/>
    </row>
    <row r="394" spans="1:5">
      <c r="A394" s="57"/>
      <c r="B394" s="43"/>
      <c r="C394" s="43"/>
      <c r="D394" s="57"/>
      <c r="E394" s="57"/>
    </row>
    <row r="395" spans="1:5">
      <c r="A395" s="57"/>
      <c r="B395" s="43"/>
      <c r="C395" s="43"/>
      <c r="D395" s="57"/>
      <c r="E395" s="57"/>
    </row>
    <row r="396" spans="1:5">
      <c r="A396" s="57"/>
      <c r="B396" s="43"/>
      <c r="C396" s="43"/>
      <c r="D396" s="57"/>
      <c r="E396" s="57"/>
    </row>
    <row r="397" spans="1:5">
      <c r="A397" s="57"/>
      <c r="B397" s="43"/>
      <c r="C397" s="43"/>
      <c r="D397" s="57"/>
      <c r="E397" s="57"/>
    </row>
    <row r="398" spans="1:5">
      <c r="A398" s="57"/>
      <c r="B398" s="43"/>
      <c r="C398" s="43"/>
      <c r="D398" s="57"/>
      <c r="E398" s="57"/>
    </row>
    <row r="399" spans="1:5">
      <c r="A399" s="57"/>
      <c r="B399" s="43"/>
      <c r="C399" s="43"/>
      <c r="D399" s="57"/>
      <c r="E399" s="57"/>
    </row>
    <row r="400" spans="1:5">
      <c r="A400" s="57"/>
      <c r="B400" s="43"/>
      <c r="C400" s="43"/>
      <c r="D400" s="57"/>
      <c r="E400" s="57"/>
    </row>
    <row r="401" spans="1:5">
      <c r="A401" s="57"/>
      <c r="B401" s="43"/>
      <c r="C401" s="43"/>
      <c r="D401" s="57"/>
      <c r="E401" s="57"/>
    </row>
    <row r="402" spans="1:5">
      <c r="A402" s="57"/>
      <c r="B402" s="43"/>
      <c r="C402" s="43"/>
      <c r="D402" s="57"/>
      <c r="E402" s="57"/>
    </row>
    <row r="403" spans="1:5">
      <c r="A403" s="57"/>
      <c r="B403" s="43"/>
      <c r="C403" s="43"/>
      <c r="D403" s="57"/>
      <c r="E403" s="57"/>
    </row>
    <row r="404" spans="1:5">
      <c r="A404" s="57"/>
      <c r="B404" s="43"/>
      <c r="C404" s="43"/>
      <c r="D404" s="57"/>
      <c r="E404" s="57"/>
    </row>
    <row r="405" spans="1:5">
      <c r="A405" s="57"/>
      <c r="B405" s="43"/>
      <c r="C405" s="43"/>
      <c r="D405" s="57"/>
      <c r="E405" s="57"/>
    </row>
    <row r="406" spans="1:5">
      <c r="A406" s="57"/>
      <c r="B406" s="43"/>
      <c r="C406" s="43"/>
      <c r="D406" s="57"/>
      <c r="E406" s="57"/>
    </row>
    <row r="407" spans="1:5">
      <c r="A407" s="57"/>
      <c r="B407" s="43"/>
      <c r="C407" s="43"/>
      <c r="D407" s="57"/>
      <c r="E407" s="57"/>
    </row>
    <row r="408" spans="1:5">
      <c r="A408" s="57"/>
      <c r="B408" s="43"/>
      <c r="C408" s="43"/>
      <c r="D408" s="57"/>
      <c r="E408" s="57"/>
    </row>
    <row r="409" spans="1:5">
      <c r="A409" s="57"/>
      <c r="B409" s="43"/>
      <c r="C409" s="43"/>
      <c r="D409" s="57"/>
      <c r="E409" s="57"/>
    </row>
    <row r="410" spans="1:5">
      <c r="A410" s="57"/>
      <c r="B410" s="43"/>
      <c r="C410" s="43"/>
      <c r="D410" s="57"/>
      <c r="E410" s="57"/>
    </row>
    <row r="411" spans="1:5">
      <c r="A411" s="57"/>
      <c r="B411" s="43"/>
      <c r="C411" s="43"/>
      <c r="D411" s="57"/>
      <c r="E411" s="57"/>
    </row>
    <row r="412" spans="1:5">
      <c r="A412" s="57"/>
      <c r="B412" s="43"/>
      <c r="C412" s="43"/>
      <c r="D412" s="57"/>
      <c r="E412" s="57"/>
    </row>
    <row r="413" spans="1:5">
      <c r="A413" s="57"/>
      <c r="B413" s="43"/>
      <c r="C413" s="43"/>
      <c r="D413" s="57"/>
      <c r="E413" s="57"/>
    </row>
    <row r="414" spans="1:5">
      <c r="A414" s="57"/>
      <c r="B414" s="43"/>
      <c r="C414" s="43"/>
      <c r="D414" s="57"/>
      <c r="E414" s="57"/>
    </row>
    <row r="415" spans="1:5">
      <c r="A415" s="57"/>
      <c r="B415" s="43"/>
      <c r="C415" s="43"/>
      <c r="D415" s="57"/>
      <c r="E415" s="57"/>
    </row>
    <row r="416" spans="1:5">
      <c r="A416" s="57"/>
      <c r="B416" s="43"/>
      <c r="C416" s="43"/>
      <c r="D416" s="57"/>
      <c r="E416" s="57"/>
    </row>
    <row r="417" spans="1:5">
      <c r="A417" s="57"/>
      <c r="B417" s="43"/>
      <c r="C417" s="43"/>
      <c r="D417" s="57"/>
      <c r="E417" s="57"/>
    </row>
    <row r="418" spans="1:5">
      <c r="A418" s="57"/>
      <c r="B418" s="43"/>
      <c r="C418" s="43"/>
      <c r="D418" s="57"/>
      <c r="E418" s="57"/>
    </row>
    <row r="419" spans="1:5">
      <c r="A419" s="57"/>
      <c r="B419" s="43"/>
      <c r="C419" s="43"/>
      <c r="D419" s="57"/>
      <c r="E419" s="57"/>
    </row>
    <row r="420" spans="1:5">
      <c r="A420" s="57"/>
      <c r="B420" s="43"/>
      <c r="C420" s="43"/>
      <c r="D420" s="57"/>
      <c r="E420" s="57"/>
    </row>
    <row r="421" spans="1:5">
      <c r="A421" s="57"/>
      <c r="B421" s="43"/>
      <c r="C421" s="43"/>
      <c r="D421" s="57"/>
      <c r="E421" s="57"/>
    </row>
    <row r="422" spans="1:5">
      <c r="A422" s="57"/>
      <c r="B422" s="43"/>
      <c r="C422" s="43"/>
      <c r="D422" s="57"/>
      <c r="E422" s="57"/>
    </row>
    <row r="423" spans="1:5">
      <c r="A423" s="57"/>
      <c r="B423" s="43"/>
      <c r="C423" s="43"/>
      <c r="D423" s="57"/>
      <c r="E423" s="57"/>
    </row>
    <row r="424" spans="1:5">
      <c r="A424" s="57"/>
      <c r="B424" s="43"/>
      <c r="C424" s="43"/>
      <c r="D424" s="57"/>
      <c r="E424" s="57"/>
    </row>
    <row r="425" spans="1:5">
      <c r="A425" s="57"/>
      <c r="B425" s="43"/>
      <c r="C425" s="43"/>
      <c r="D425" s="57"/>
      <c r="E425" s="57"/>
    </row>
    <row r="426" spans="1:5">
      <c r="A426" s="57"/>
      <c r="B426" s="43"/>
      <c r="C426" s="43"/>
      <c r="D426" s="57"/>
      <c r="E426" s="57"/>
    </row>
    <row r="427" spans="1:5">
      <c r="A427" s="57"/>
      <c r="B427" s="43"/>
      <c r="C427" s="43"/>
      <c r="D427" s="57"/>
      <c r="E427" s="57"/>
    </row>
    <row r="428" spans="1:5">
      <c r="A428" s="57"/>
      <c r="B428" s="43"/>
      <c r="C428" s="43"/>
      <c r="D428" s="57"/>
      <c r="E428" s="57"/>
    </row>
    <row r="429" spans="1:5">
      <c r="A429" s="57"/>
      <c r="B429" s="43"/>
      <c r="C429" s="43"/>
      <c r="D429" s="57"/>
      <c r="E429" s="57"/>
    </row>
    <row r="430" spans="1:5">
      <c r="A430" s="57"/>
      <c r="B430" s="43"/>
      <c r="C430" s="43"/>
      <c r="D430" s="57"/>
      <c r="E430" s="57"/>
    </row>
    <row r="431" spans="1:5">
      <c r="A431" s="57"/>
      <c r="B431" s="43"/>
      <c r="C431" s="43"/>
      <c r="D431" s="57"/>
      <c r="E431" s="57"/>
    </row>
    <row r="432" spans="1:5">
      <c r="A432" s="57"/>
      <c r="B432" s="43"/>
      <c r="C432" s="43"/>
      <c r="D432" s="57"/>
      <c r="E432" s="57"/>
    </row>
    <row r="433" spans="1:5">
      <c r="A433" s="57"/>
      <c r="B433" s="43"/>
      <c r="C433" s="43"/>
      <c r="D433" s="57"/>
      <c r="E433" s="57"/>
    </row>
    <row r="434" spans="1:5">
      <c r="A434" s="57"/>
      <c r="B434" s="43"/>
      <c r="C434" s="43"/>
      <c r="D434" s="57"/>
      <c r="E434" s="57"/>
    </row>
    <row r="435" spans="1:5">
      <c r="A435" s="57"/>
      <c r="B435" s="43"/>
      <c r="C435" s="43"/>
      <c r="D435" s="57"/>
      <c r="E435" s="57"/>
    </row>
    <row r="436" spans="1:5">
      <c r="A436" s="57"/>
      <c r="B436" s="43"/>
      <c r="C436" s="43"/>
      <c r="D436" s="57"/>
      <c r="E436" s="57"/>
    </row>
    <row r="437" spans="1:5">
      <c r="A437" s="57"/>
      <c r="B437" s="43"/>
      <c r="C437" s="43"/>
      <c r="D437" s="57"/>
      <c r="E437" s="57"/>
    </row>
    <row r="438" spans="1:5">
      <c r="A438" s="57"/>
      <c r="B438" s="43"/>
      <c r="C438" s="43"/>
      <c r="D438" s="57"/>
      <c r="E438" s="57"/>
    </row>
    <row r="439" spans="1:5">
      <c r="A439" s="57"/>
      <c r="B439" s="43"/>
      <c r="C439" s="43"/>
      <c r="D439" s="57"/>
      <c r="E439" s="57"/>
    </row>
    <row r="440" spans="1:5">
      <c r="A440" s="57"/>
      <c r="B440" s="43"/>
      <c r="C440" s="43"/>
      <c r="D440" s="57"/>
      <c r="E440" s="57"/>
    </row>
    <row r="441" spans="1:5">
      <c r="A441" s="57"/>
      <c r="B441" s="43"/>
      <c r="C441" s="43"/>
      <c r="D441" s="57"/>
      <c r="E441" s="57"/>
    </row>
    <row r="442" spans="1:5">
      <c r="A442" s="57"/>
      <c r="B442" s="43"/>
      <c r="C442" s="43"/>
      <c r="D442" s="57"/>
      <c r="E442" s="57"/>
    </row>
    <row r="443" spans="1:5">
      <c r="A443" s="57"/>
      <c r="B443" s="43"/>
      <c r="C443" s="43"/>
      <c r="D443" s="57"/>
      <c r="E443" s="57"/>
    </row>
    <row r="444" spans="1:5">
      <c r="A444" s="57"/>
      <c r="B444" s="43"/>
      <c r="C444" s="43"/>
      <c r="D444" s="57"/>
      <c r="E444" s="57"/>
    </row>
    <row r="445" spans="1:5">
      <c r="A445" s="57"/>
      <c r="B445" s="43"/>
      <c r="C445" s="43"/>
      <c r="D445" s="57"/>
      <c r="E445" s="57"/>
    </row>
    <row r="446" spans="1:5">
      <c r="A446" s="57"/>
      <c r="B446" s="43"/>
      <c r="C446" s="43"/>
      <c r="D446" s="57"/>
      <c r="E446" s="57"/>
    </row>
    <row r="447" spans="1:5">
      <c r="A447" s="57"/>
      <c r="B447" s="43"/>
      <c r="C447" s="43"/>
      <c r="D447" s="57"/>
      <c r="E447" s="57"/>
    </row>
    <row r="448" spans="1:5">
      <c r="A448" s="57"/>
      <c r="B448" s="43"/>
      <c r="C448" s="43"/>
      <c r="D448" s="57"/>
      <c r="E448" s="57"/>
    </row>
    <row r="449" spans="1:5">
      <c r="A449" s="57"/>
      <c r="B449" s="43"/>
      <c r="C449" s="43"/>
      <c r="D449" s="57"/>
      <c r="E449" s="57"/>
    </row>
    <row r="450" spans="1:5">
      <c r="A450" s="57"/>
      <c r="B450" s="43"/>
      <c r="C450" s="43"/>
      <c r="D450" s="57"/>
      <c r="E450" s="57"/>
    </row>
    <row r="451" spans="1:5">
      <c r="A451" s="57"/>
      <c r="B451" s="43"/>
      <c r="C451" s="43"/>
      <c r="D451" s="57"/>
      <c r="E451" s="57"/>
    </row>
    <row r="452" spans="1:5">
      <c r="A452" s="57"/>
      <c r="B452" s="43"/>
      <c r="C452" s="43"/>
      <c r="D452" s="57"/>
      <c r="E452" s="57"/>
    </row>
    <row r="453" spans="1:5">
      <c r="A453" s="57"/>
      <c r="B453" s="43"/>
      <c r="C453" s="43"/>
      <c r="D453" s="57"/>
      <c r="E453" s="57"/>
    </row>
    <row r="454" spans="1:5">
      <c r="A454" s="57"/>
      <c r="B454" s="43"/>
      <c r="C454" s="43"/>
      <c r="D454" s="57"/>
      <c r="E454" s="57"/>
    </row>
    <row r="455" spans="1:5">
      <c r="A455" s="57"/>
      <c r="B455" s="43"/>
      <c r="C455" s="43"/>
      <c r="D455" s="57"/>
      <c r="E455" s="57"/>
    </row>
    <row r="456" spans="1:5">
      <c r="A456" s="57"/>
      <c r="B456" s="43"/>
      <c r="C456" s="43"/>
      <c r="D456" s="57"/>
      <c r="E456" s="57"/>
    </row>
    <row r="457" spans="1:5">
      <c r="A457" s="57"/>
      <c r="B457" s="43"/>
      <c r="C457" s="43"/>
      <c r="D457" s="57"/>
      <c r="E457" s="57"/>
    </row>
    <row r="458" spans="1:5">
      <c r="A458" s="57"/>
      <c r="B458" s="43"/>
      <c r="C458" s="43"/>
      <c r="D458" s="57"/>
      <c r="E458" s="57"/>
    </row>
    <row r="459" spans="1:5">
      <c r="A459" s="57"/>
      <c r="B459" s="43"/>
      <c r="C459" s="43"/>
      <c r="D459" s="57"/>
      <c r="E459" s="57"/>
    </row>
    <row r="460" spans="1:5">
      <c r="A460" s="57"/>
      <c r="B460" s="43"/>
      <c r="C460" s="43"/>
      <c r="D460" s="57"/>
      <c r="E460" s="57"/>
    </row>
    <row r="461" spans="1:5">
      <c r="A461" s="57"/>
      <c r="B461" s="43"/>
      <c r="C461" s="43"/>
      <c r="D461" s="57"/>
      <c r="E461" s="57"/>
    </row>
    <row r="462" spans="1:5">
      <c r="A462" s="57"/>
      <c r="B462" s="43"/>
      <c r="C462" s="43"/>
      <c r="D462" s="57"/>
      <c r="E462" s="57"/>
    </row>
    <row r="463" spans="1:5">
      <c r="A463" s="57"/>
      <c r="B463" s="43"/>
      <c r="C463" s="43"/>
      <c r="D463" s="57"/>
      <c r="E463" s="57"/>
    </row>
    <row r="464" spans="1:5">
      <c r="A464" s="57"/>
      <c r="B464" s="43"/>
      <c r="C464" s="43"/>
      <c r="D464" s="57"/>
      <c r="E464" s="57"/>
    </row>
    <row r="465" spans="1:5">
      <c r="A465" s="57"/>
      <c r="B465" s="43"/>
      <c r="C465" s="43"/>
      <c r="D465" s="57"/>
      <c r="E465" s="57"/>
    </row>
    <row r="466" spans="1:5">
      <c r="A466" s="57"/>
      <c r="B466" s="43"/>
      <c r="C466" s="43"/>
      <c r="D466" s="57"/>
      <c r="E466" s="57"/>
    </row>
    <row r="467" spans="1:5">
      <c r="A467" s="57"/>
      <c r="B467" s="43"/>
      <c r="C467" s="43"/>
      <c r="D467" s="57"/>
      <c r="E467" s="57"/>
    </row>
    <row r="468" spans="1:5">
      <c r="A468" s="57"/>
      <c r="B468" s="43"/>
      <c r="C468" s="43"/>
      <c r="D468" s="57"/>
      <c r="E468" s="57"/>
    </row>
    <row r="469" spans="1:5">
      <c r="A469" s="57"/>
      <c r="B469" s="43"/>
      <c r="C469" s="43"/>
      <c r="D469" s="57"/>
      <c r="E469" s="57"/>
    </row>
    <row r="470" spans="1:5">
      <c r="A470" s="57"/>
      <c r="B470" s="43"/>
      <c r="C470" s="43"/>
      <c r="D470" s="57"/>
      <c r="E470" s="57"/>
    </row>
    <row r="471" spans="1:5">
      <c r="A471" s="57"/>
      <c r="B471" s="43"/>
      <c r="C471" s="43"/>
      <c r="D471" s="57"/>
      <c r="E471" s="57"/>
    </row>
    <row r="472" spans="1:5">
      <c r="A472" s="57"/>
      <c r="B472" s="43"/>
      <c r="C472" s="43"/>
      <c r="D472" s="57"/>
      <c r="E472" s="57"/>
    </row>
    <row r="473" spans="1:5">
      <c r="A473" s="57"/>
      <c r="B473" s="43"/>
      <c r="C473" s="43"/>
      <c r="D473" s="57"/>
      <c r="E473" s="57"/>
    </row>
    <row r="474" spans="1:5">
      <c r="A474" s="57"/>
      <c r="B474" s="43"/>
      <c r="C474" s="43"/>
      <c r="D474" s="57"/>
      <c r="E474" s="57"/>
    </row>
    <row r="475" spans="1:5">
      <c r="A475" s="57"/>
      <c r="B475" s="43"/>
      <c r="C475" s="43"/>
      <c r="D475" s="57"/>
      <c r="E475" s="57"/>
    </row>
    <row r="476" spans="1:5">
      <c r="A476" s="57"/>
      <c r="B476" s="43"/>
      <c r="C476" s="43"/>
      <c r="D476" s="57"/>
      <c r="E476" s="57"/>
    </row>
    <row r="477" spans="1:5">
      <c r="A477" s="57"/>
      <c r="B477" s="43"/>
      <c r="C477" s="43"/>
      <c r="D477" s="57"/>
      <c r="E477" s="57"/>
    </row>
    <row r="478" spans="1:5">
      <c r="A478" s="57"/>
      <c r="B478" s="43"/>
      <c r="C478" s="43"/>
      <c r="D478" s="57"/>
      <c r="E478" s="57"/>
    </row>
    <row r="479" spans="1:5">
      <c r="A479" s="57"/>
      <c r="B479" s="43"/>
      <c r="C479" s="43"/>
      <c r="D479" s="57"/>
      <c r="E479" s="57"/>
    </row>
    <row r="480" spans="1:5">
      <c r="A480" s="57"/>
      <c r="B480" s="43"/>
      <c r="C480" s="43"/>
      <c r="D480" s="57"/>
      <c r="E480" s="57"/>
    </row>
    <row r="481" spans="1:5">
      <c r="A481" s="57"/>
      <c r="B481" s="43"/>
      <c r="C481" s="43"/>
      <c r="D481" s="57"/>
      <c r="E481" s="57"/>
    </row>
    <row r="482" spans="1:5">
      <c r="A482" s="57"/>
      <c r="B482" s="43"/>
      <c r="C482" s="43"/>
      <c r="D482" s="57"/>
      <c r="E482" s="57"/>
    </row>
    <row r="483" spans="1:5">
      <c r="A483" s="57"/>
      <c r="B483" s="43"/>
      <c r="C483" s="43"/>
      <c r="D483" s="57"/>
      <c r="E483" s="57"/>
    </row>
    <row r="484" spans="1:5">
      <c r="A484" s="57"/>
      <c r="B484" s="43"/>
      <c r="C484" s="43"/>
      <c r="D484" s="57"/>
      <c r="E484" s="57"/>
    </row>
    <row r="485" spans="1:5">
      <c r="A485" s="57"/>
      <c r="B485" s="43"/>
      <c r="C485" s="43"/>
      <c r="D485" s="57"/>
      <c r="E485" s="57"/>
    </row>
    <row r="486" spans="1:5">
      <c r="A486" s="57"/>
      <c r="B486" s="43"/>
      <c r="C486" s="43"/>
      <c r="D486" s="57"/>
      <c r="E486" s="57"/>
    </row>
    <row r="487" spans="1:5">
      <c r="A487" s="57"/>
      <c r="B487" s="43"/>
      <c r="C487" s="43"/>
      <c r="D487" s="57"/>
      <c r="E487" s="57"/>
    </row>
    <row r="488" spans="1:5">
      <c r="A488" s="57"/>
      <c r="B488" s="43"/>
      <c r="C488" s="43"/>
      <c r="D488" s="57"/>
      <c r="E488" s="57"/>
    </row>
    <row r="489" spans="1:5">
      <c r="A489" s="57"/>
      <c r="B489" s="43"/>
      <c r="C489" s="43"/>
      <c r="D489" s="57"/>
      <c r="E489" s="57"/>
    </row>
    <row r="490" spans="1:5">
      <c r="A490" s="57"/>
      <c r="B490" s="43"/>
      <c r="C490" s="43"/>
      <c r="D490" s="57"/>
      <c r="E490" s="57"/>
    </row>
    <row r="491" spans="1:5">
      <c r="A491" s="57"/>
      <c r="B491" s="43"/>
      <c r="C491" s="43"/>
      <c r="D491" s="57"/>
      <c r="E491" s="57"/>
    </row>
    <row r="492" spans="1:5">
      <c r="A492" s="57"/>
      <c r="B492" s="43"/>
      <c r="C492" s="43"/>
      <c r="D492" s="57"/>
      <c r="E492" s="57"/>
    </row>
    <row r="493" spans="1:5">
      <c r="A493" s="57"/>
      <c r="B493" s="43"/>
      <c r="C493" s="43"/>
      <c r="D493" s="57"/>
      <c r="E493" s="57"/>
    </row>
    <row r="494" spans="1:5">
      <c r="A494" s="57"/>
      <c r="B494" s="43"/>
      <c r="C494" s="43"/>
      <c r="D494" s="57"/>
      <c r="E494" s="57"/>
    </row>
    <row r="495" spans="1:5">
      <c r="A495" s="57"/>
      <c r="B495" s="43"/>
      <c r="C495" s="43"/>
      <c r="D495" s="57"/>
      <c r="E495" s="57"/>
    </row>
    <row r="496" spans="1:5">
      <c r="A496" s="57"/>
      <c r="B496" s="43"/>
      <c r="C496" s="43"/>
      <c r="D496" s="57"/>
      <c r="E496" s="57"/>
    </row>
    <row r="497" spans="1:5">
      <c r="A497" s="57"/>
      <c r="B497" s="43"/>
      <c r="C497" s="43"/>
      <c r="D497" s="57"/>
      <c r="E497" s="57"/>
    </row>
    <row r="498" spans="1:5">
      <c r="A498" s="57"/>
      <c r="B498" s="43"/>
      <c r="C498" s="43"/>
      <c r="D498" s="57"/>
      <c r="E498" s="57"/>
    </row>
    <row r="499" spans="1:5">
      <c r="A499" s="57"/>
      <c r="B499" s="43"/>
      <c r="C499" s="43"/>
      <c r="D499" s="57"/>
      <c r="E499" s="57"/>
    </row>
    <row r="500" spans="1:5">
      <c r="A500" s="57"/>
      <c r="B500" s="43"/>
      <c r="C500" s="43"/>
      <c r="D500" s="57"/>
      <c r="E500" s="57"/>
    </row>
    <row r="501" spans="1:5">
      <c r="A501" s="57"/>
      <c r="B501" s="43"/>
      <c r="C501" s="43"/>
      <c r="D501" s="57"/>
      <c r="E501" s="57"/>
    </row>
    <row r="502" spans="1:5">
      <c r="A502" s="57"/>
      <c r="B502" s="43"/>
      <c r="C502" s="43"/>
      <c r="D502" s="57"/>
      <c r="E502" s="57"/>
    </row>
    <row r="503" spans="1:5">
      <c r="A503" s="57"/>
      <c r="B503" s="43"/>
      <c r="C503" s="43"/>
      <c r="D503" s="57"/>
      <c r="E503" s="57"/>
    </row>
    <row r="504" spans="1:5">
      <c r="A504" s="57"/>
      <c r="B504" s="43"/>
      <c r="C504" s="43"/>
      <c r="D504" s="57"/>
      <c r="E504" s="57"/>
    </row>
    <row r="505" spans="1:5">
      <c r="A505" s="57"/>
      <c r="B505" s="43"/>
      <c r="C505" s="43"/>
      <c r="D505" s="57"/>
      <c r="E505" s="57"/>
    </row>
    <row r="506" spans="1:5">
      <c r="A506" s="57"/>
      <c r="B506" s="43"/>
      <c r="C506" s="43"/>
      <c r="D506" s="57"/>
      <c r="E506" s="57"/>
    </row>
    <row r="507" spans="1:5">
      <c r="A507" s="57"/>
      <c r="B507" s="43"/>
      <c r="C507" s="43"/>
      <c r="D507" s="57"/>
      <c r="E507" s="57"/>
    </row>
    <row r="508" spans="1:5">
      <c r="A508" s="57"/>
      <c r="B508" s="43"/>
      <c r="C508" s="43"/>
      <c r="D508" s="57"/>
      <c r="E508" s="57"/>
    </row>
    <row r="509" spans="1:5">
      <c r="A509" s="57"/>
      <c r="B509" s="43"/>
      <c r="C509" s="43"/>
      <c r="D509" s="57"/>
      <c r="E509" s="57"/>
    </row>
    <row r="510" spans="1:5">
      <c r="A510" s="57"/>
      <c r="B510" s="43"/>
      <c r="C510" s="43"/>
      <c r="D510" s="57"/>
      <c r="E510" s="57"/>
    </row>
    <row r="511" spans="1:5">
      <c r="A511" s="57"/>
      <c r="B511" s="43"/>
      <c r="C511" s="43"/>
      <c r="D511" s="57"/>
      <c r="E511" s="57"/>
    </row>
    <row r="512" spans="1:5">
      <c r="A512" s="57"/>
      <c r="B512" s="43"/>
      <c r="C512" s="43"/>
      <c r="D512" s="57"/>
      <c r="E512" s="57"/>
    </row>
    <row r="513" spans="1:5">
      <c r="A513" s="57"/>
      <c r="B513" s="43"/>
      <c r="C513" s="43"/>
      <c r="D513" s="57"/>
      <c r="E513" s="57"/>
    </row>
    <row r="514" spans="1:5">
      <c r="A514" s="57"/>
      <c r="B514" s="43"/>
      <c r="C514" s="43"/>
      <c r="D514" s="57"/>
      <c r="E514" s="57"/>
    </row>
    <row r="515" spans="1:5">
      <c r="A515" s="57"/>
      <c r="B515" s="43"/>
      <c r="C515" s="43"/>
      <c r="D515" s="57"/>
      <c r="E515" s="57"/>
    </row>
    <row r="516" spans="1:5">
      <c r="A516" s="57"/>
      <c r="B516" s="43"/>
      <c r="C516" s="43"/>
      <c r="D516" s="57"/>
      <c r="E516" s="57"/>
    </row>
    <row r="517" spans="1:5">
      <c r="A517" s="57"/>
      <c r="B517" s="43"/>
      <c r="C517" s="43"/>
      <c r="D517" s="57"/>
      <c r="E517" s="57"/>
    </row>
    <row r="518" spans="1:5">
      <c r="A518" s="57"/>
      <c r="B518" s="43"/>
      <c r="C518" s="43"/>
      <c r="D518" s="57"/>
      <c r="E518" s="57"/>
    </row>
    <row r="519" spans="1:5">
      <c r="A519" s="57"/>
      <c r="B519" s="43"/>
      <c r="C519" s="43"/>
      <c r="D519" s="57"/>
      <c r="E519" s="57"/>
    </row>
    <row r="520" spans="1:5">
      <c r="A520" s="57"/>
      <c r="B520" s="43"/>
      <c r="C520" s="43"/>
      <c r="D520" s="57"/>
      <c r="E520" s="57"/>
    </row>
    <row r="521" spans="1:5">
      <c r="A521" s="57"/>
      <c r="B521" s="43"/>
      <c r="C521" s="43"/>
      <c r="D521" s="57"/>
      <c r="E521" s="57"/>
    </row>
    <row r="522" spans="1:5">
      <c r="A522" s="57"/>
      <c r="B522" s="43"/>
      <c r="C522" s="43"/>
      <c r="D522" s="57"/>
      <c r="E522" s="57"/>
    </row>
    <row r="523" spans="1:5">
      <c r="A523" s="57"/>
      <c r="B523" s="43"/>
      <c r="C523" s="43"/>
      <c r="D523" s="57"/>
      <c r="E523" s="57"/>
    </row>
    <row r="524" spans="1:5">
      <c r="A524" s="57"/>
      <c r="B524" s="43"/>
      <c r="C524" s="43"/>
      <c r="D524" s="57"/>
      <c r="E524" s="57"/>
    </row>
    <row r="525" spans="1:5">
      <c r="A525" s="57"/>
      <c r="B525" s="43"/>
      <c r="C525" s="43"/>
      <c r="D525" s="57"/>
      <c r="E525" s="57"/>
    </row>
    <row r="526" spans="1:5">
      <c r="A526" s="57"/>
      <c r="B526" s="43"/>
      <c r="C526" s="43"/>
      <c r="D526" s="57"/>
      <c r="E526" s="57"/>
    </row>
    <row r="527" spans="1:5">
      <c r="A527" s="57"/>
      <c r="B527" s="43"/>
      <c r="C527" s="43"/>
      <c r="D527" s="57"/>
      <c r="E527" s="57"/>
    </row>
    <row r="528" spans="1:5">
      <c r="A528" s="57"/>
      <c r="B528" s="43"/>
      <c r="C528" s="43"/>
      <c r="D528" s="57"/>
      <c r="E528" s="57"/>
    </row>
    <row r="529" spans="1:5">
      <c r="A529" s="57"/>
      <c r="B529" s="43"/>
      <c r="C529" s="43"/>
      <c r="D529" s="57"/>
      <c r="E529" s="57"/>
    </row>
    <row r="530" spans="1:5">
      <c r="A530" s="57"/>
      <c r="B530" s="43"/>
      <c r="C530" s="43"/>
      <c r="D530" s="57"/>
      <c r="E530" s="57"/>
    </row>
    <row r="531" spans="1:5">
      <c r="A531" s="57"/>
      <c r="B531" s="43"/>
      <c r="C531" s="43"/>
      <c r="D531" s="57"/>
      <c r="E531" s="57"/>
    </row>
    <row r="532" spans="1:5">
      <c r="A532" s="57"/>
      <c r="B532" s="43"/>
      <c r="C532" s="43"/>
      <c r="D532" s="57"/>
      <c r="E532" s="57"/>
    </row>
    <row r="533" spans="1:5">
      <c r="A533" s="57"/>
      <c r="B533" s="43"/>
      <c r="C533" s="43"/>
      <c r="D533" s="57"/>
      <c r="E533" s="57"/>
    </row>
    <row r="534" spans="1:5">
      <c r="A534" s="57"/>
      <c r="B534" s="43"/>
      <c r="C534" s="43"/>
      <c r="D534" s="57"/>
      <c r="E534" s="57"/>
    </row>
    <row r="535" spans="1:5">
      <c r="A535" s="57"/>
      <c r="B535" s="43"/>
      <c r="C535" s="43"/>
      <c r="D535" s="57"/>
      <c r="E535" s="57"/>
    </row>
    <row r="536" spans="1:5">
      <c r="A536" s="57"/>
      <c r="B536" s="43"/>
      <c r="C536" s="43"/>
      <c r="D536" s="57"/>
      <c r="E536" s="57"/>
    </row>
    <row r="537" spans="1:5">
      <c r="A537" s="57"/>
      <c r="B537" s="43"/>
      <c r="C537" s="43"/>
      <c r="D537" s="57"/>
      <c r="E537" s="57"/>
    </row>
    <row r="538" spans="1:5">
      <c r="A538" s="57"/>
      <c r="B538" s="43"/>
      <c r="C538" s="43"/>
      <c r="D538" s="57"/>
      <c r="E538" s="57"/>
    </row>
    <row r="539" spans="1:5">
      <c r="A539" s="57"/>
      <c r="B539" s="43"/>
      <c r="C539" s="43"/>
      <c r="D539" s="57"/>
      <c r="E539" s="57"/>
    </row>
    <row r="540" spans="1:5">
      <c r="A540" s="57"/>
      <c r="B540" s="43"/>
      <c r="C540" s="43"/>
      <c r="D540" s="57"/>
      <c r="E540" s="57"/>
    </row>
    <row r="541" spans="1:5">
      <c r="A541" s="57"/>
      <c r="B541" s="43"/>
      <c r="C541" s="43"/>
      <c r="D541" s="57"/>
      <c r="E541" s="57"/>
    </row>
    <row r="542" spans="1:5">
      <c r="A542" s="57"/>
      <c r="B542" s="43"/>
      <c r="C542" s="43"/>
      <c r="D542" s="57"/>
      <c r="E542" s="57"/>
    </row>
    <row r="543" spans="1:5">
      <c r="A543" s="57"/>
      <c r="B543" s="43"/>
      <c r="C543" s="43"/>
      <c r="D543" s="57"/>
      <c r="E543" s="57"/>
    </row>
    <row r="544" spans="1:5">
      <c r="A544" s="57"/>
      <c r="B544" s="43"/>
      <c r="C544" s="43"/>
      <c r="D544" s="57"/>
      <c r="E544" s="57"/>
    </row>
    <row r="545" spans="1:5">
      <c r="A545" s="57"/>
      <c r="B545" s="43"/>
      <c r="C545" s="43"/>
      <c r="D545" s="57"/>
      <c r="E545" s="57"/>
    </row>
    <row r="546" spans="1:5">
      <c r="A546" s="57"/>
      <c r="B546" s="43"/>
      <c r="C546" s="43"/>
      <c r="D546" s="57"/>
      <c r="E546" s="57"/>
    </row>
    <row r="547" spans="1:5">
      <c r="A547" s="57"/>
      <c r="B547" s="43"/>
      <c r="C547" s="43"/>
      <c r="D547" s="57"/>
      <c r="E547" s="57"/>
    </row>
    <row r="548" spans="1:5">
      <c r="A548" s="57"/>
      <c r="B548" s="43"/>
      <c r="C548" s="43"/>
      <c r="D548" s="57"/>
      <c r="E548" s="57"/>
    </row>
    <row r="549" spans="1:5">
      <c r="A549" s="57"/>
      <c r="B549" s="43"/>
      <c r="C549" s="43"/>
      <c r="D549" s="57"/>
      <c r="E549" s="57"/>
    </row>
    <row r="550" spans="1:5">
      <c r="A550" s="57"/>
      <c r="B550" s="43"/>
      <c r="C550" s="43"/>
      <c r="D550" s="57"/>
      <c r="E550" s="57"/>
    </row>
    <row r="551" spans="1:5">
      <c r="A551" s="57"/>
      <c r="B551" s="43"/>
      <c r="C551" s="43"/>
      <c r="D551" s="57"/>
      <c r="E551" s="57"/>
    </row>
    <row r="552" spans="1:5">
      <c r="A552" s="57"/>
      <c r="B552" s="43"/>
      <c r="C552" s="43"/>
      <c r="D552" s="57"/>
      <c r="E552" s="57"/>
    </row>
    <row r="553" spans="1:5">
      <c r="A553" s="57"/>
      <c r="B553" s="43"/>
      <c r="C553" s="43"/>
      <c r="D553" s="57"/>
      <c r="E553" s="57"/>
    </row>
    <row r="554" spans="1:5">
      <c r="A554" s="57"/>
      <c r="B554" s="43"/>
      <c r="C554" s="43"/>
      <c r="D554" s="57"/>
      <c r="E554" s="57"/>
    </row>
    <row r="555" spans="1:5">
      <c r="A555" s="57"/>
      <c r="B555" s="43"/>
      <c r="C555" s="43"/>
      <c r="D555" s="57"/>
      <c r="E555" s="57"/>
    </row>
    <row r="556" spans="1:5">
      <c r="A556" s="57"/>
      <c r="B556" s="43"/>
      <c r="C556" s="43"/>
      <c r="D556" s="57"/>
      <c r="E556" s="57"/>
    </row>
    <row r="557" spans="1:5">
      <c r="A557" s="57"/>
      <c r="B557" s="43"/>
      <c r="C557" s="43"/>
      <c r="D557" s="57"/>
      <c r="E557" s="57"/>
    </row>
    <row r="558" spans="1:5">
      <c r="A558" s="57"/>
      <c r="B558" s="43"/>
      <c r="C558" s="43"/>
      <c r="D558" s="57"/>
      <c r="E558" s="57"/>
    </row>
    <row r="559" spans="1:5">
      <c r="A559" s="57"/>
      <c r="B559" s="43"/>
      <c r="C559" s="43"/>
      <c r="D559" s="57"/>
      <c r="E559" s="57"/>
    </row>
    <row r="560" spans="1:5">
      <c r="A560" s="57"/>
      <c r="B560" s="43"/>
      <c r="C560" s="43"/>
      <c r="D560" s="57"/>
      <c r="E560" s="57"/>
    </row>
    <row r="561" spans="1:5">
      <c r="A561" s="57"/>
      <c r="B561" s="43"/>
      <c r="C561" s="43"/>
      <c r="D561" s="57"/>
      <c r="E561" s="57"/>
    </row>
    <row r="562" spans="1:5">
      <c r="A562" s="57"/>
      <c r="B562" s="43"/>
      <c r="C562" s="43"/>
      <c r="D562" s="57"/>
      <c r="E562" s="57"/>
    </row>
    <row r="563" spans="1:5">
      <c r="A563" s="57"/>
      <c r="B563" s="43"/>
      <c r="C563" s="43"/>
      <c r="D563" s="57"/>
      <c r="E563" s="57"/>
    </row>
    <row r="564" spans="1:5">
      <c r="A564" s="57"/>
      <c r="B564" s="43"/>
      <c r="C564" s="43"/>
      <c r="D564" s="57"/>
      <c r="E564" s="57"/>
    </row>
    <row r="565" spans="1:5">
      <c r="A565" s="57"/>
      <c r="B565" s="43"/>
      <c r="C565" s="43"/>
      <c r="D565" s="57"/>
      <c r="E565" s="57"/>
    </row>
    <row r="566" spans="1:5">
      <c r="A566" s="57"/>
      <c r="B566" s="43"/>
      <c r="C566" s="43"/>
      <c r="D566" s="57"/>
      <c r="E566" s="57"/>
    </row>
    <row r="567" spans="1:5">
      <c r="A567" s="57"/>
      <c r="B567" s="43"/>
      <c r="C567" s="43"/>
      <c r="D567" s="57"/>
      <c r="E567" s="57"/>
    </row>
    <row r="568" spans="1:5">
      <c r="A568" s="57"/>
      <c r="B568" s="43"/>
      <c r="C568" s="43"/>
      <c r="D568" s="57"/>
      <c r="E568" s="57"/>
    </row>
    <row r="569" spans="1:5">
      <c r="A569" s="57"/>
      <c r="B569" s="43"/>
      <c r="C569" s="43"/>
      <c r="D569" s="57"/>
      <c r="E569" s="57"/>
    </row>
    <row r="570" spans="1:5">
      <c r="A570" s="57"/>
      <c r="B570" s="43"/>
      <c r="C570" s="43"/>
      <c r="D570" s="57"/>
      <c r="E570" s="57"/>
    </row>
    <row r="571" spans="1:5">
      <c r="A571" s="57"/>
      <c r="B571" s="43"/>
      <c r="C571" s="43"/>
      <c r="D571" s="57"/>
      <c r="E571" s="57"/>
    </row>
    <row r="572" spans="1:5">
      <c r="A572" s="57"/>
      <c r="B572" s="43"/>
      <c r="C572" s="43"/>
      <c r="D572" s="57"/>
      <c r="E572" s="57"/>
    </row>
    <row r="573" spans="1:5">
      <c r="A573" s="57"/>
      <c r="B573" s="43"/>
      <c r="C573" s="43"/>
      <c r="D573" s="57"/>
      <c r="E573" s="57"/>
    </row>
    <row r="574" spans="1:5">
      <c r="A574" s="57"/>
      <c r="B574" s="43"/>
      <c r="C574" s="43"/>
      <c r="D574" s="57"/>
      <c r="E574" s="57"/>
    </row>
    <row r="575" spans="1:5">
      <c r="A575" s="57"/>
      <c r="B575" s="43"/>
      <c r="C575" s="43"/>
      <c r="D575" s="57"/>
      <c r="E575" s="57"/>
    </row>
    <row r="576" spans="1:5">
      <c r="A576" s="57"/>
      <c r="B576" s="43"/>
      <c r="C576" s="43"/>
      <c r="D576" s="57"/>
      <c r="E576" s="57"/>
    </row>
    <row r="577" spans="1:5">
      <c r="A577" s="57"/>
      <c r="B577" s="43"/>
      <c r="C577" s="43"/>
      <c r="D577" s="57"/>
      <c r="E577" s="57"/>
    </row>
    <row r="578" spans="1:5">
      <c r="A578" s="57"/>
      <c r="B578" s="43"/>
      <c r="C578" s="43"/>
      <c r="D578" s="57"/>
      <c r="E578" s="57"/>
    </row>
    <row r="579" spans="1:5">
      <c r="A579" s="57"/>
      <c r="B579" s="43"/>
      <c r="C579" s="43"/>
      <c r="D579" s="57"/>
      <c r="E579" s="57"/>
    </row>
    <row r="580" spans="1:5">
      <c r="A580" s="57"/>
      <c r="B580" s="43"/>
      <c r="C580" s="43"/>
      <c r="D580" s="57"/>
      <c r="E580" s="57"/>
    </row>
    <row r="581" spans="1:5">
      <c r="A581" s="57"/>
      <c r="B581" s="43"/>
      <c r="C581" s="43"/>
      <c r="D581" s="57"/>
      <c r="E581" s="57"/>
    </row>
    <row r="582" spans="1:5">
      <c r="A582" s="57"/>
      <c r="B582" s="43"/>
      <c r="C582" s="43"/>
      <c r="D582" s="57"/>
      <c r="E582" s="57"/>
    </row>
    <row r="583" spans="1:5">
      <c r="A583" s="57"/>
      <c r="B583" s="43"/>
      <c r="C583" s="43"/>
      <c r="D583" s="57"/>
      <c r="E583" s="57"/>
    </row>
    <row r="584" spans="1:5">
      <c r="A584" s="57"/>
      <c r="B584" s="43"/>
      <c r="C584" s="43"/>
      <c r="D584" s="57"/>
      <c r="E584" s="57"/>
    </row>
    <row r="585" spans="1:5">
      <c r="A585" s="57"/>
      <c r="B585" s="43"/>
      <c r="C585" s="43"/>
      <c r="D585" s="57"/>
      <c r="E585" s="57"/>
    </row>
    <row r="586" spans="1:5">
      <c r="A586" s="57"/>
      <c r="B586" s="43"/>
      <c r="C586" s="43"/>
      <c r="D586" s="57"/>
      <c r="E586" s="57"/>
    </row>
    <row r="587" spans="1:5">
      <c r="A587" s="57"/>
      <c r="B587" s="43"/>
      <c r="C587" s="43"/>
      <c r="D587" s="57"/>
      <c r="E587" s="57"/>
    </row>
    <row r="588" spans="1:5">
      <c r="A588" s="57"/>
      <c r="B588" s="43"/>
      <c r="C588" s="43"/>
      <c r="D588" s="57"/>
      <c r="E588" s="57"/>
    </row>
    <row r="589" spans="1:5">
      <c r="A589" s="57"/>
      <c r="B589" s="43"/>
      <c r="C589" s="43"/>
      <c r="D589" s="57"/>
      <c r="E589" s="57"/>
    </row>
    <row r="590" spans="1:5">
      <c r="A590" s="57"/>
      <c r="B590" s="43"/>
      <c r="C590" s="43"/>
      <c r="D590" s="57"/>
      <c r="E590" s="57"/>
    </row>
    <row r="591" spans="1:5">
      <c r="A591" s="57"/>
      <c r="B591" s="43"/>
      <c r="C591" s="43"/>
      <c r="D591" s="57"/>
      <c r="E591" s="57"/>
    </row>
    <row r="592" spans="1:5">
      <c r="A592" s="57"/>
      <c r="B592" s="43"/>
      <c r="C592" s="43"/>
      <c r="D592" s="57"/>
      <c r="E592" s="57"/>
    </row>
    <row r="593" spans="1:5">
      <c r="A593" s="57"/>
      <c r="B593" s="43"/>
      <c r="C593" s="43"/>
      <c r="D593" s="57"/>
      <c r="E593" s="57"/>
    </row>
    <row r="594" spans="1:5">
      <c r="A594" s="57"/>
      <c r="B594" s="43"/>
      <c r="C594" s="43"/>
      <c r="D594" s="57"/>
      <c r="E594" s="57"/>
    </row>
    <row r="595" spans="1:5">
      <c r="A595" s="57"/>
      <c r="B595" s="43"/>
      <c r="C595" s="43"/>
      <c r="D595" s="57"/>
      <c r="E595" s="57"/>
    </row>
    <row r="596" spans="1:5">
      <c r="A596" s="57"/>
      <c r="B596" s="43"/>
      <c r="C596" s="43"/>
      <c r="D596" s="57"/>
      <c r="E596" s="57"/>
    </row>
    <row r="597" spans="1:5">
      <c r="A597" s="57"/>
      <c r="B597" s="43"/>
      <c r="C597" s="43"/>
      <c r="D597" s="57"/>
      <c r="E597" s="57"/>
    </row>
    <row r="598" spans="1:5">
      <c r="A598" s="57"/>
      <c r="B598" s="43"/>
      <c r="C598" s="43"/>
      <c r="D598" s="57"/>
      <c r="E598" s="57"/>
    </row>
    <row r="599" spans="1:5">
      <c r="A599" s="57"/>
      <c r="B599" s="43"/>
      <c r="C599" s="43"/>
      <c r="D599" s="57"/>
      <c r="E599" s="57"/>
    </row>
    <row r="600" spans="1:5">
      <c r="A600" s="57"/>
      <c r="B600" s="43"/>
      <c r="C600" s="43"/>
      <c r="D600" s="57"/>
      <c r="E600" s="57"/>
    </row>
    <row r="601" spans="1:5">
      <c r="A601" s="57"/>
      <c r="B601" s="43"/>
      <c r="C601" s="43"/>
      <c r="D601" s="57"/>
      <c r="E601" s="57"/>
    </row>
    <row r="602" spans="1:5">
      <c r="A602" s="57"/>
      <c r="B602" s="43"/>
      <c r="C602" s="43"/>
      <c r="D602" s="57"/>
      <c r="E602" s="57"/>
    </row>
    <row r="603" spans="1:5">
      <c r="A603" s="57"/>
      <c r="B603" s="43"/>
      <c r="C603" s="43"/>
      <c r="D603" s="57"/>
      <c r="E603" s="57"/>
    </row>
    <row r="604" spans="1:5">
      <c r="A604" s="57"/>
      <c r="B604" s="43"/>
      <c r="C604" s="43"/>
      <c r="D604" s="57"/>
      <c r="E604" s="57"/>
    </row>
    <row r="605" spans="1:5">
      <c r="A605" s="57"/>
      <c r="B605" s="43"/>
      <c r="C605" s="43"/>
      <c r="D605" s="57"/>
      <c r="E605" s="57"/>
    </row>
    <row r="606" spans="1:5">
      <c r="A606" s="57"/>
      <c r="B606" s="43"/>
      <c r="C606" s="43"/>
      <c r="D606" s="57"/>
      <c r="E606" s="57"/>
    </row>
    <row r="607" spans="1:5">
      <c r="A607" s="57"/>
      <c r="B607" s="43"/>
      <c r="C607" s="43"/>
      <c r="D607" s="57"/>
      <c r="E607" s="57"/>
    </row>
    <row r="608" spans="1:5">
      <c r="A608" s="57"/>
      <c r="B608" s="43"/>
      <c r="C608" s="43"/>
      <c r="D608" s="57"/>
      <c r="E608" s="57"/>
    </row>
    <row r="609" spans="1:5">
      <c r="A609" s="57"/>
      <c r="B609" s="43"/>
      <c r="C609" s="43"/>
      <c r="D609" s="57"/>
      <c r="E609" s="57"/>
    </row>
    <row r="610" spans="1:5">
      <c r="A610" s="57"/>
      <c r="B610" s="43"/>
      <c r="C610" s="43"/>
      <c r="D610" s="57"/>
      <c r="E610" s="57"/>
    </row>
    <row r="611" spans="1:5">
      <c r="A611" s="57"/>
      <c r="B611" s="43"/>
      <c r="C611" s="43"/>
      <c r="D611" s="57"/>
      <c r="E611" s="57"/>
    </row>
    <row r="612" spans="1:5">
      <c r="A612" s="57"/>
      <c r="B612" s="43"/>
      <c r="C612" s="43"/>
      <c r="D612" s="57"/>
      <c r="E612" s="57"/>
    </row>
    <row r="613" spans="1:5">
      <c r="A613" s="57"/>
      <c r="B613" s="43"/>
      <c r="C613" s="43"/>
      <c r="D613" s="57"/>
      <c r="E613" s="57"/>
    </row>
    <row r="614" spans="1:5">
      <c r="A614" s="57"/>
      <c r="B614" s="43"/>
      <c r="C614" s="43"/>
      <c r="D614" s="57"/>
      <c r="E614" s="57"/>
    </row>
    <row r="615" spans="1:5">
      <c r="A615" s="57"/>
      <c r="B615" s="43"/>
      <c r="C615" s="43"/>
      <c r="D615" s="57"/>
      <c r="E615" s="57"/>
    </row>
    <row r="616" spans="1:5">
      <c r="A616" s="57"/>
      <c r="B616" s="43"/>
      <c r="C616" s="43"/>
      <c r="D616" s="57"/>
      <c r="E616" s="57"/>
    </row>
    <row r="617" spans="1:5">
      <c r="A617" s="57"/>
      <c r="B617" s="43"/>
      <c r="C617" s="43"/>
      <c r="D617" s="57"/>
      <c r="E617" s="57"/>
    </row>
    <row r="618" spans="1:5">
      <c r="A618" s="57"/>
      <c r="B618" s="43"/>
      <c r="C618" s="43"/>
      <c r="D618" s="57"/>
      <c r="E618" s="57"/>
    </row>
    <row r="619" spans="1:5">
      <c r="A619" s="57"/>
      <c r="B619" s="43"/>
      <c r="C619" s="43"/>
      <c r="D619" s="57"/>
      <c r="E619" s="57"/>
    </row>
    <row r="620" spans="1:5">
      <c r="A620" s="57"/>
      <c r="B620" s="43"/>
      <c r="C620" s="43"/>
      <c r="D620" s="57"/>
      <c r="E620" s="57"/>
    </row>
    <row r="621" spans="1:5">
      <c r="A621" s="57"/>
      <c r="B621" s="43"/>
      <c r="C621" s="43"/>
      <c r="D621" s="57"/>
      <c r="E621" s="57"/>
    </row>
    <row r="622" spans="1:5">
      <c r="A622" s="57"/>
      <c r="B622" s="43"/>
      <c r="C622" s="43"/>
      <c r="D622" s="57"/>
      <c r="E622" s="57"/>
    </row>
    <row r="623" spans="1:5">
      <c r="A623" s="57"/>
      <c r="B623" s="43"/>
      <c r="C623" s="43"/>
      <c r="D623" s="57"/>
      <c r="E623" s="57"/>
    </row>
    <row r="624" spans="1:5">
      <c r="A624" s="57"/>
      <c r="B624" s="43"/>
      <c r="C624" s="43"/>
      <c r="D624" s="57"/>
      <c r="E624" s="57"/>
    </row>
    <row r="625" spans="1:5">
      <c r="A625" s="57"/>
      <c r="B625" s="43"/>
      <c r="C625" s="43"/>
      <c r="D625" s="57"/>
      <c r="E625" s="57"/>
    </row>
    <row r="626" spans="1:5">
      <c r="A626" s="57"/>
      <c r="B626" s="43"/>
      <c r="C626" s="43"/>
      <c r="D626" s="57"/>
      <c r="E626" s="57"/>
    </row>
    <row r="627" spans="1:5">
      <c r="A627" s="57"/>
      <c r="B627" s="43"/>
      <c r="C627" s="43"/>
      <c r="D627" s="57"/>
      <c r="E627" s="57"/>
    </row>
    <row r="628" spans="1:5">
      <c r="A628" s="57"/>
      <c r="B628" s="43"/>
      <c r="C628" s="43"/>
      <c r="D628" s="57"/>
      <c r="E628" s="57"/>
    </row>
    <row r="629" spans="1:5">
      <c r="A629" s="57"/>
      <c r="B629" s="43"/>
      <c r="C629" s="43"/>
      <c r="D629" s="57"/>
      <c r="E629" s="57"/>
    </row>
    <row r="630" spans="1:5">
      <c r="A630" s="57"/>
      <c r="B630" s="43"/>
      <c r="C630" s="43"/>
      <c r="D630" s="57"/>
      <c r="E630" s="57"/>
    </row>
    <row r="631" spans="1:5">
      <c r="A631" s="57"/>
      <c r="B631" s="43"/>
      <c r="C631" s="43"/>
      <c r="D631" s="57"/>
      <c r="E631" s="57"/>
    </row>
    <row r="632" spans="1:5">
      <c r="A632" s="57"/>
      <c r="B632" s="43"/>
      <c r="C632" s="43"/>
      <c r="D632" s="57"/>
      <c r="E632" s="57"/>
    </row>
    <row r="633" spans="1:5">
      <c r="A633" s="57"/>
      <c r="B633" s="43"/>
      <c r="C633" s="43"/>
      <c r="D633" s="57"/>
      <c r="E633" s="57"/>
    </row>
    <row r="634" spans="1:5">
      <c r="A634" s="57"/>
      <c r="B634" s="43"/>
      <c r="C634" s="43"/>
      <c r="D634" s="57"/>
      <c r="E634" s="57"/>
    </row>
    <row r="635" spans="1:5">
      <c r="A635" s="57"/>
      <c r="B635" s="43"/>
      <c r="C635" s="43"/>
      <c r="D635" s="57"/>
      <c r="E635" s="57"/>
    </row>
    <row r="636" spans="1:5">
      <c r="A636" s="57"/>
      <c r="B636" s="43"/>
      <c r="C636" s="43"/>
      <c r="D636" s="57"/>
      <c r="E636" s="57"/>
    </row>
    <row r="637" spans="1:5">
      <c r="A637" s="57"/>
      <c r="B637" s="43"/>
      <c r="C637" s="43"/>
      <c r="D637" s="57"/>
      <c r="E637" s="57"/>
    </row>
    <row r="638" spans="1:5">
      <c r="A638" s="57"/>
      <c r="B638" s="43"/>
      <c r="C638" s="43"/>
      <c r="D638" s="57"/>
      <c r="E638" s="57"/>
    </row>
    <row r="639" spans="1:5">
      <c r="A639" s="57"/>
      <c r="B639" s="43"/>
      <c r="C639" s="43"/>
      <c r="D639" s="57"/>
      <c r="E639" s="57"/>
    </row>
    <row r="640" spans="1:5">
      <c r="A640" s="57"/>
      <c r="B640" s="43"/>
      <c r="C640" s="43"/>
      <c r="D640" s="57"/>
      <c r="E640" s="57"/>
    </row>
    <row r="641" spans="1:5">
      <c r="A641" s="57"/>
      <c r="B641" s="43"/>
      <c r="C641" s="43"/>
      <c r="D641" s="57"/>
      <c r="E641" s="57"/>
    </row>
    <row r="642" spans="1:5">
      <c r="A642" s="57"/>
      <c r="B642" s="43"/>
      <c r="C642" s="43"/>
      <c r="D642" s="57"/>
      <c r="E642" s="57"/>
    </row>
    <row r="643" spans="1:5">
      <c r="A643" s="57"/>
      <c r="B643" s="43"/>
      <c r="C643" s="43"/>
      <c r="D643" s="57"/>
      <c r="E643" s="57"/>
    </row>
    <row r="644" spans="1:5">
      <c r="A644" s="57"/>
      <c r="B644" s="43"/>
      <c r="C644" s="43"/>
      <c r="D644" s="57"/>
      <c r="E644" s="57"/>
    </row>
    <row r="645" spans="1:5">
      <c r="A645" s="57"/>
      <c r="B645" s="43"/>
      <c r="C645" s="43"/>
      <c r="D645" s="57"/>
      <c r="E645" s="57"/>
    </row>
    <row r="646" spans="1:5">
      <c r="A646" s="57"/>
      <c r="B646" s="43"/>
      <c r="C646" s="43"/>
      <c r="D646" s="57"/>
      <c r="E646" s="57"/>
    </row>
    <row r="647" spans="1:5">
      <c r="A647" s="57"/>
      <c r="B647" s="43"/>
      <c r="C647" s="43"/>
      <c r="D647" s="57"/>
      <c r="E647" s="57"/>
    </row>
    <row r="648" spans="1:5">
      <c r="A648" s="57"/>
      <c r="B648" s="43"/>
      <c r="C648" s="43"/>
      <c r="D648" s="57"/>
      <c r="E648" s="57"/>
    </row>
    <row r="649" spans="1:5">
      <c r="A649" s="57"/>
      <c r="B649" s="43"/>
      <c r="C649" s="43"/>
      <c r="D649" s="57"/>
      <c r="E649" s="57"/>
    </row>
    <row r="650" spans="1:5">
      <c r="A650" s="57"/>
      <c r="B650" s="43"/>
      <c r="C650" s="43"/>
      <c r="D650" s="57"/>
      <c r="E650" s="57"/>
    </row>
    <row r="651" spans="1:5">
      <c r="A651" s="57"/>
      <c r="B651" s="43"/>
      <c r="C651" s="43"/>
      <c r="D651" s="57"/>
      <c r="E651" s="57"/>
    </row>
    <row r="652" spans="1:5">
      <c r="A652" s="57"/>
      <c r="B652" s="43"/>
      <c r="C652" s="43"/>
      <c r="D652" s="57"/>
      <c r="E652" s="57"/>
    </row>
    <row r="653" spans="1:5">
      <c r="A653" s="57"/>
      <c r="B653" s="43"/>
      <c r="C653" s="43"/>
      <c r="D653" s="57"/>
      <c r="E653" s="57"/>
    </row>
    <row r="654" spans="1:5">
      <c r="A654" s="57"/>
      <c r="B654" s="43"/>
      <c r="C654" s="43"/>
      <c r="D654" s="57"/>
      <c r="E654" s="57"/>
    </row>
    <row r="655" spans="1:5">
      <c r="A655" s="57"/>
      <c r="B655" s="43"/>
      <c r="C655" s="43"/>
      <c r="D655" s="57"/>
      <c r="E655" s="57"/>
    </row>
    <row r="656" spans="1:5">
      <c r="A656" s="57"/>
      <c r="B656" s="43"/>
      <c r="C656" s="43"/>
      <c r="D656" s="57"/>
      <c r="E656" s="57"/>
    </row>
    <row r="657" spans="1:5">
      <c r="A657" s="57"/>
      <c r="B657" s="43"/>
      <c r="C657" s="43"/>
      <c r="D657" s="57"/>
      <c r="E657" s="57"/>
    </row>
    <row r="658" spans="1:5">
      <c r="A658" s="57"/>
      <c r="B658" s="43"/>
      <c r="C658" s="43"/>
      <c r="D658" s="57"/>
      <c r="E658" s="57"/>
    </row>
    <row r="659" spans="1:5">
      <c r="A659" s="57"/>
      <c r="B659" s="43"/>
      <c r="C659" s="43"/>
      <c r="D659" s="57"/>
      <c r="E659" s="57"/>
    </row>
    <row r="660" spans="1:5">
      <c r="A660" s="57"/>
      <c r="B660" s="43"/>
      <c r="C660" s="43"/>
      <c r="D660" s="57"/>
      <c r="E660" s="57"/>
    </row>
    <row r="661" spans="1:5">
      <c r="A661" s="57"/>
      <c r="B661" s="43"/>
      <c r="C661" s="43"/>
      <c r="D661" s="57"/>
      <c r="E661" s="57"/>
    </row>
    <row r="662" spans="1:5">
      <c r="A662" s="57"/>
      <c r="B662" s="43"/>
      <c r="C662" s="43"/>
      <c r="D662" s="57"/>
      <c r="E662" s="57"/>
    </row>
    <row r="663" spans="1:5">
      <c r="A663" s="57"/>
      <c r="B663" s="43"/>
      <c r="C663" s="43"/>
      <c r="D663" s="57"/>
      <c r="E663" s="57"/>
    </row>
    <row r="664" spans="1:5">
      <c r="A664" s="57"/>
      <c r="B664" s="43"/>
      <c r="C664" s="43"/>
      <c r="D664" s="57"/>
      <c r="E664" s="57"/>
    </row>
    <row r="665" spans="1:5">
      <c r="A665" s="57"/>
      <c r="B665" s="43"/>
      <c r="C665" s="43"/>
      <c r="D665" s="57"/>
      <c r="E665" s="57"/>
    </row>
    <row r="666" spans="1:5">
      <c r="A666" s="57"/>
      <c r="B666" s="43"/>
      <c r="C666" s="43"/>
      <c r="D666" s="57"/>
      <c r="E666" s="57"/>
    </row>
    <row r="667" spans="1:5">
      <c r="A667" s="57"/>
      <c r="B667" s="43"/>
      <c r="C667" s="43"/>
      <c r="D667" s="57"/>
      <c r="E667" s="57"/>
    </row>
    <row r="668" spans="1:5">
      <c r="A668" s="57"/>
      <c r="B668" s="43"/>
      <c r="C668" s="43"/>
      <c r="D668" s="57"/>
      <c r="E668" s="57"/>
    </row>
    <row r="669" spans="1:5">
      <c r="A669" s="57"/>
      <c r="B669" s="43"/>
      <c r="C669" s="43"/>
      <c r="D669" s="57"/>
      <c r="E669" s="57"/>
    </row>
    <row r="670" spans="1:5">
      <c r="A670" s="57"/>
      <c r="B670" s="43"/>
      <c r="C670" s="43"/>
      <c r="D670" s="57"/>
      <c r="E670" s="57"/>
    </row>
    <row r="671" spans="1:5">
      <c r="A671" s="57"/>
      <c r="B671" s="43"/>
      <c r="C671" s="43"/>
      <c r="D671" s="57"/>
      <c r="E671" s="57"/>
    </row>
    <row r="672" spans="1:5">
      <c r="A672" s="57"/>
      <c r="B672" s="43"/>
      <c r="C672" s="43"/>
      <c r="D672" s="57"/>
      <c r="E672" s="57"/>
    </row>
    <row r="673" spans="1:5">
      <c r="A673" s="57"/>
      <c r="B673" s="43"/>
      <c r="C673" s="43"/>
      <c r="D673" s="57"/>
      <c r="E673" s="57"/>
    </row>
    <row r="674" spans="1:5">
      <c r="A674" s="57"/>
      <c r="B674" s="43"/>
      <c r="C674" s="43"/>
      <c r="D674" s="57"/>
      <c r="E674" s="57"/>
    </row>
    <row r="675" spans="1:5">
      <c r="A675" s="57"/>
      <c r="B675" s="43"/>
      <c r="C675" s="43"/>
      <c r="D675" s="57"/>
      <c r="E675" s="57"/>
    </row>
    <row r="676" spans="1:5">
      <c r="A676" s="57"/>
      <c r="B676" s="43"/>
      <c r="C676" s="43"/>
      <c r="D676" s="57"/>
      <c r="E676" s="57"/>
    </row>
    <row r="677" spans="1:5">
      <c r="A677" s="57"/>
      <c r="B677" s="43"/>
      <c r="C677" s="43"/>
      <c r="D677" s="57"/>
      <c r="E677" s="57"/>
    </row>
    <row r="678" spans="1:5">
      <c r="A678" s="57"/>
      <c r="B678" s="43"/>
      <c r="C678" s="43"/>
      <c r="D678" s="57"/>
      <c r="E678" s="57"/>
    </row>
    <row r="679" spans="1:5">
      <c r="A679" s="57"/>
      <c r="B679" s="43"/>
      <c r="C679" s="43"/>
      <c r="D679" s="57"/>
      <c r="E679" s="57"/>
    </row>
    <row r="680" spans="1:5">
      <c r="A680" s="57"/>
      <c r="B680" s="43"/>
      <c r="C680" s="43"/>
      <c r="D680" s="57"/>
      <c r="E680" s="57"/>
    </row>
    <row r="681" spans="1:5">
      <c r="A681" s="57"/>
      <c r="B681" s="43"/>
      <c r="C681" s="43"/>
      <c r="D681" s="57"/>
      <c r="E681" s="57"/>
    </row>
    <row r="682" spans="1:5">
      <c r="A682" s="57"/>
      <c r="B682" s="43"/>
      <c r="C682" s="43"/>
      <c r="D682" s="57"/>
      <c r="E682" s="57"/>
    </row>
    <row r="683" spans="1:5">
      <c r="A683" s="57"/>
      <c r="B683" s="43"/>
      <c r="C683" s="43"/>
      <c r="D683" s="57"/>
      <c r="E683" s="57"/>
    </row>
    <row r="684" spans="1:5">
      <c r="A684" s="57"/>
      <c r="B684" s="43"/>
      <c r="C684" s="43"/>
      <c r="D684" s="57"/>
      <c r="E684" s="57"/>
    </row>
    <row r="685" spans="1:5">
      <c r="A685" s="57"/>
      <c r="B685" s="43"/>
      <c r="C685" s="43"/>
      <c r="D685" s="57"/>
      <c r="E685" s="57"/>
    </row>
    <row r="686" spans="1:5">
      <c r="A686" s="57"/>
      <c r="B686" s="43"/>
      <c r="C686" s="43"/>
      <c r="D686" s="57"/>
      <c r="E686" s="57"/>
    </row>
    <row r="687" spans="1:5">
      <c r="A687" s="57"/>
      <c r="B687" s="43"/>
      <c r="C687" s="43"/>
      <c r="D687" s="57"/>
      <c r="E687" s="57"/>
    </row>
    <row r="688" spans="1:5">
      <c r="A688" s="57"/>
      <c r="B688" s="43"/>
      <c r="C688" s="43"/>
      <c r="D688" s="57"/>
      <c r="E688" s="57"/>
    </row>
    <row r="689" spans="1:5">
      <c r="A689" s="57"/>
      <c r="B689" s="43"/>
      <c r="C689" s="43"/>
      <c r="D689" s="57"/>
      <c r="E689" s="57"/>
    </row>
    <row r="690" spans="1:5">
      <c r="A690" s="57"/>
      <c r="B690" s="43"/>
      <c r="C690" s="43"/>
      <c r="D690" s="57"/>
      <c r="E690" s="57"/>
    </row>
    <row r="691" spans="1:5">
      <c r="A691" s="57"/>
      <c r="B691" s="43"/>
      <c r="C691" s="43"/>
      <c r="D691" s="57"/>
      <c r="E691" s="57"/>
    </row>
    <row r="692" spans="1:5">
      <c r="A692" s="57"/>
      <c r="B692" s="43"/>
      <c r="C692" s="43"/>
      <c r="D692" s="57"/>
      <c r="E692" s="57"/>
    </row>
    <row r="693" spans="1:5">
      <c r="A693" s="57"/>
      <c r="B693" s="43"/>
      <c r="C693" s="43"/>
      <c r="D693" s="57"/>
      <c r="E693" s="57"/>
    </row>
    <row r="694" spans="1:5">
      <c r="A694" s="57"/>
      <c r="B694" s="43"/>
      <c r="C694" s="43"/>
      <c r="D694" s="57"/>
      <c r="E694" s="57"/>
    </row>
    <row r="695" spans="1:5">
      <c r="A695" s="57"/>
      <c r="B695" s="43"/>
      <c r="C695" s="43"/>
      <c r="D695" s="57"/>
      <c r="E695" s="57"/>
    </row>
    <row r="696" spans="1:5">
      <c r="A696" s="57"/>
      <c r="B696" s="43"/>
      <c r="C696" s="43"/>
      <c r="D696" s="57"/>
      <c r="E696" s="57"/>
    </row>
    <row r="697" spans="1:5">
      <c r="A697" s="57"/>
      <c r="B697" s="43"/>
      <c r="C697" s="43"/>
      <c r="D697" s="57"/>
      <c r="E697" s="57"/>
    </row>
    <row r="698" spans="1:5">
      <c r="A698" s="57"/>
      <c r="B698" s="43"/>
      <c r="C698" s="43"/>
      <c r="D698" s="57"/>
      <c r="E698" s="57"/>
    </row>
    <row r="699" spans="1:5">
      <c r="A699" s="57"/>
      <c r="B699" s="43"/>
      <c r="C699" s="43"/>
      <c r="D699" s="57"/>
      <c r="E699" s="57"/>
    </row>
    <row r="700" spans="1:5">
      <c r="A700" s="57"/>
      <c r="B700" s="43"/>
      <c r="C700" s="43"/>
      <c r="D700" s="57"/>
      <c r="E700" s="57"/>
    </row>
    <row r="701" spans="1:5">
      <c r="A701" s="57"/>
      <c r="B701" s="43"/>
      <c r="C701" s="43"/>
      <c r="D701" s="57"/>
      <c r="E701" s="57"/>
    </row>
    <row r="702" spans="1:5">
      <c r="A702" s="57"/>
      <c r="B702" s="43"/>
      <c r="C702" s="43"/>
      <c r="D702" s="57"/>
      <c r="E702" s="57"/>
    </row>
    <row r="703" spans="1:5">
      <c r="A703" s="57"/>
      <c r="B703" s="43"/>
      <c r="C703" s="43"/>
      <c r="D703" s="57"/>
      <c r="E703" s="57"/>
    </row>
    <row r="704" spans="1:5">
      <c r="A704" s="57"/>
      <c r="B704" s="43"/>
      <c r="C704" s="43"/>
      <c r="D704" s="57"/>
      <c r="E704" s="57"/>
    </row>
    <row r="705" spans="1:5">
      <c r="A705" s="57"/>
      <c r="B705" s="43"/>
      <c r="C705" s="43"/>
      <c r="D705" s="57"/>
      <c r="E705" s="57"/>
    </row>
    <row r="706" spans="1:5">
      <c r="A706" s="57"/>
      <c r="B706" s="43"/>
      <c r="C706" s="43"/>
      <c r="D706" s="57"/>
      <c r="E706" s="57"/>
    </row>
    <row r="707" spans="1:5">
      <c r="A707" s="57"/>
      <c r="B707" s="43"/>
      <c r="C707" s="43"/>
      <c r="D707" s="57"/>
      <c r="E707" s="57"/>
    </row>
    <row r="708" spans="1:5">
      <c r="A708" s="57"/>
      <c r="B708" s="43"/>
      <c r="C708" s="43"/>
      <c r="D708" s="57"/>
      <c r="E708" s="57"/>
    </row>
    <row r="709" spans="1:5">
      <c r="A709" s="57"/>
      <c r="B709" s="43"/>
      <c r="C709" s="43"/>
      <c r="D709" s="57"/>
      <c r="E709" s="57"/>
    </row>
    <row r="710" spans="1:5">
      <c r="A710" s="57"/>
      <c r="B710" s="43"/>
      <c r="C710" s="43"/>
      <c r="D710" s="57"/>
      <c r="E710" s="57"/>
    </row>
    <row r="711" spans="1:5">
      <c r="A711" s="57"/>
      <c r="B711" s="43"/>
      <c r="C711" s="43"/>
      <c r="D711" s="57"/>
      <c r="E711" s="57"/>
    </row>
    <row r="712" spans="1:5">
      <c r="A712" s="57"/>
      <c r="B712" s="43"/>
      <c r="C712" s="43"/>
      <c r="D712" s="57"/>
      <c r="E712" s="57"/>
    </row>
    <row r="713" spans="1:5">
      <c r="A713" s="57"/>
      <c r="B713" s="43"/>
      <c r="C713" s="43"/>
      <c r="D713" s="57"/>
      <c r="E713" s="57"/>
    </row>
    <row r="714" spans="1:5">
      <c r="A714" s="57"/>
      <c r="B714" s="43"/>
      <c r="C714" s="43"/>
      <c r="D714" s="57"/>
      <c r="E714" s="57"/>
    </row>
    <row r="715" spans="1:5">
      <c r="A715" s="57"/>
      <c r="B715" s="43"/>
      <c r="C715" s="43"/>
      <c r="D715" s="57"/>
      <c r="E715" s="57"/>
    </row>
    <row r="716" spans="1:5">
      <c r="A716" s="57"/>
      <c r="B716" s="43"/>
      <c r="C716" s="43"/>
      <c r="D716" s="57"/>
      <c r="E716" s="57"/>
    </row>
    <row r="717" spans="1:5">
      <c r="A717" s="57"/>
      <c r="B717" s="43"/>
      <c r="C717" s="43"/>
      <c r="D717" s="57"/>
      <c r="E717" s="57"/>
    </row>
    <row r="718" spans="1:5">
      <c r="A718" s="57"/>
      <c r="B718" s="43"/>
      <c r="C718" s="43"/>
      <c r="D718" s="57"/>
      <c r="E718" s="57"/>
    </row>
    <row r="719" spans="1:5">
      <c r="A719" s="57"/>
      <c r="B719" s="43"/>
      <c r="C719" s="43"/>
      <c r="D719" s="57"/>
      <c r="E719" s="57"/>
    </row>
    <row r="720" spans="1:5">
      <c r="A720" s="57"/>
      <c r="B720" s="43"/>
      <c r="C720" s="43"/>
      <c r="D720" s="57"/>
      <c r="E720" s="57"/>
    </row>
    <row r="721" spans="1:5">
      <c r="A721" s="57"/>
      <c r="B721" s="43"/>
      <c r="C721" s="43"/>
      <c r="D721" s="57"/>
      <c r="E721" s="57"/>
    </row>
    <row r="722" spans="1:5">
      <c r="A722" s="57"/>
      <c r="B722" s="43"/>
      <c r="C722" s="43"/>
      <c r="D722" s="57"/>
      <c r="E722" s="57"/>
    </row>
    <row r="723" spans="1:5">
      <c r="A723" s="57"/>
      <c r="B723" s="43"/>
      <c r="C723" s="43"/>
      <c r="D723" s="57"/>
      <c r="E723" s="57"/>
    </row>
    <row r="724" spans="1:5">
      <c r="A724" s="57"/>
      <c r="B724" s="43"/>
      <c r="C724" s="43"/>
      <c r="D724" s="57"/>
      <c r="E724" s="57"/>
    </row>
    <row r="725" spans="1:5">
      <c r="A725" s="57"/>
      <c r="B725" s="43"/>
      <c r="C725" s="43"/>
      <c r="D725" s="57"/>
      <c r="E725" s="57"/>
    </row>
    <row r="726" spans="1:5">
      <c r="A726" s="57"/>
      <c r="B726" s="43"/>
      <c r="C726" s="43"/>
      <c r="D726" s="57"/>
      <c r="E726" s="57"/>
    </row>
    <row r="727" spans="1:5">
      <c r="A727" s="57"/>
      <c r="B727" s="43"/>
      <c r="C727" s="43"/>
      <c r="D727" s="57"/>
      <c r="E727" s="57"/>
    </row>
    <row r="728" spans="1:5">
      <c r="A728" s="57"/>
      <c r="B728" s="43"/>
      <c r="C728" s="43"/>
      <c r="D728" s="57"/>
      <c r="E728" s="57"/>
    </row>
    <row r="729" spans="1:5">
      <c r="A729" s="57"/>
      <c r="B729" s="43"/>
      <c r="C729" s="43"/>
      <c r="D729" s="57"/>
      <c r="E729" s="57"/>
    </row>
    <row r="730" spans="1:5">
      <c r="A730" s="57"/>
      <c r="B730" s="43"/>
      <c r="C730" s="43"/>
      <c r="D730" s="57"/>
      <c r="E730" s="57"/>
    </row>
    <row r="731" spans="1:5">
      <c r="A731" s="57"/>
      <c r="B731" s="43"/>
      <c r="C731" s="43"/>
      <c r="D731" s="57"/>
      <c r="E731" s="57"/>
    </row>
    <row r="732" spans="1:5">
      <c r="A732" s="57"/>
      <c r="B732" s="43"/>
      <c r="C732" s="43"/>
      <c r="D732" s="57"/>
      <c r="E732" s="57"/>
    </row>
    <row r="733" spans="1:5">
      <c r="A733" s="57"/>
      <c r="B733" s="43"/>
      <c r="C733" s="43"/>
      <c r="D733" s="57"/>
      <c r="E733" s="57"/>
    </row>
    <row r="734" spans="1:5">
      <c r="A734" s="57"/>
      <c r="B734" s="43"/>
      <c r="C734" s="43"/>
      <c r="D734" s="57"/>
      <c r="E734" s="57"/>
    </row>
    <row r="735" spans="1:5">
      <c r="A735" s="57"/>
      <c r="B735" s="43"/>
      <c r="C735" s="43"/>
      <c r="D735" s="57"/>
      <c r="E735" s="57"/>
    </row>
    <row r="736" spans="1:5">
      <c r="A736" s="57"/>
      <c r="B736" s="43"/>
      <c r="C736" s="43"/>
      <c r="D736" s="57"/>
      <c r="E736" s="57"/>
    </row>
    <row r="737" spans="1:5">
      <c r="A737" s="57"/>
      <c r="B737" s="43"/>
      <c r="C737" s="43"/>
      <c r="D737" s="57"/>
      <c r="E737" s="57"/>
    </row>
    <row r="738" spans="1:5">
      <c r="A738" s="57"/>
      <c r="B738" s="43"/>
      <c r="C738" s="43"/>
      <c r="D738" s="57"/>
      <c r="E738" s="57"/>
    </row>
    <row r="739" spans="1:5">
      <c r="A739" s="57"/>
      <c r="B739" s="43"/>
      <c r="C739" s="43"/>
      <c r="D739" s="57"/>
      <c r="E739" s="57"/>
    </row>
    <row r="740" spans="1:5">
      <c r="A740" s="57"/>
      <c r="B740" s="43"/>
      <c r="C740" s="43"/>
      <c r="D740" s="57"/>
      <c r="E740" s="57"/>
    </row>
    <row r="741" spans="1:5">
      <c r="A741" s="57"/>
      <c r="B741" s="43"/>
      <c r="C741" s="43"/>
      <c r="D741" s="57"/>
      <c r="E741" s="57"/>
    </row>
    <row r="742" spans="1:5">
      <c r="A742" s="57"/>
      <c r="B742" s="43"/>
      <c r="C742" s="43"/>
      <c r="D742" s="57"/>
      <c r="E742" s="57"/>
    </row>
    <row r="743" spans="1:5">
      <c r="A743" s="57"/>
      <c r="B743" s="43"/>
      <c r="C743" s="43"/>
      <c r="D743" s="57"/>
      <c r="E743" s="57"/>
    </row>
    <row r="744" spans="1:5">
      <c r="A744" s="57"/>
      <c r="B744" s="43"/>
      <c r="C744" s="43"/>
      <c r="D744" s="57"/>
      <c r="E744" s="57"/>
    </row>
    <row r="745" spans="1:5">
      <c r="A745" s="57"/>
      <c r="B745" s="43"/>
      <c r="C745" s="43"/>
      <c r="D745" s="57"/>
      <c r="E745" s="57"/>
    </row>
    <row r="746" spans="1:5">
      <c r="A746" s="57"/>
      <c r="B746" s="43"/>
      <c r="C746" s="43"/>
      <c r="D746" s="57"/>
      <c r="E746" s="57"/>
    </row>
    <row r="747" spans="1:5">
      <c r="A747" s="57"/>
      <c r="B747" s="43"/>
      <c r="C747" s="43"/>
      <c r="D747" s="57"/>
      <c r="E747" s="57"/>
    </row>
    <row r="748" spans="1:5">
      <c r="A748" s="57"/>
      <c r="B748" s="43"/>
      <c r="C748" s="43"/>
      <c r="D748" s="57"/>
      <c r="E748" s="57"/>
    </row>
    <row r="749" spans="1:5">
      <c r="A749" s="57"/>
      <c r="B749" s="43"/>
      <c r="C749" s="43"/>
      <c r="D749" s="57"/>
      <c r="E749" s="57"/>
    </row>
    <row r="750" spans="1:5">
      <c r="A750" s="57"/>
      <c r="B750" s="43"/>
      <c r="C750" s="43"/>
      <c r="D750" s="57"/>
      <c r="E750" s="57"/>
    </row>
    <row r="751" spans="1:5">
      <c r="A751" s="57"/>
      <c r="B751" s="43"/>
      <c r="C751" s="43"/>
      <c r="D751" s="57"/>
      <c r="E751" s="57"/>
    </row>
    <row r="752" spans="1:5">
      <c r="A752" s="57"/>
      <c r="B752" s="43"/>
      <c r="C752" s="43"/>
      <c r="D752" s="57"/>
      <c r="E752" s="57"/>
    </row>
    <row r="753" spans="1:5">
      <c r="A753" s="57"/>
      <c r="B753" s="43"/>
      <c r="C753" s="43"/>
      <c r="D753" s="57"/>
      <c r="E753" s="57"/>
    </row>
    <row r="754" spans="1:5">
      <c r="A754" s="57"/>
      <c r="B754" s="43"/>
      <c r="C754" s="43"/>
      <c r="D754" s="57"/>
      <c r="E754" s="57"/>
    </row>
    <row r="755" spans="1:5">
      <c r="A755" s="57"/>
      <c r="B755" s="43"/>
      <c r="C755" s="43"/>
      <c r="D755" s="57"/>
      <c r="E755" s="57"/>
    </row>
    <row r="756" spans="1:5">
      <c r="A756" s="57"/>
      <c r="B756" s="43"/>
      <c r="C756" s="43"/>
      <c r="D756" s="57"/>
      <c r="E756" s="57"/>
    </row>
    <row r="757" spans="1:5">
      <c r="A757" s="57"/>
      <c r="B757" s="43"/>
      <c r="C757" s="43"/>
      <c r="D757" s="57"/>
      <c r="E757" s="57"/>
    </row>
    <row r="758" spans="1:5">
      <c r="A758" s="57"/>
      <c r="B758" s="43"/>
      <c r="C758" s="43"/>
      <c r="D758" s="57"/>
      <c r="E758" s="57"/>
    </row>
    <row r="759" spans="1:5">
      <c r="A759" s="57"/>
      <c r="B759" s="43"/>
      <c r="C759" s="43"/>
      <c r="D759" s="57"/>
      <c r="E759" s="57"/>
    </row>
    <row r="760" spans="1:5">
      <c r="A760" s="57"/>
      <c r="B760" s="43"/>
      <c r="C760" s="43"/>
      <c r="D760" s="57"/>
      <c r="E760" s="57"/>
    </row>
    <row r="761" spans="1:5">
      <c r="A761" s="57"/>
      <c r="B761" s="43"/>
      <c r="C761" s="43"/>
      <c r="D761" s="57"/>
      <c r="E761" s="57"/>
    </row>
    <row r="762" spans="1:5">
      <c r="A762" s="57"/>
      <c r="B762" s="43"/>
      <c r="C762" s="43"/>
      <c r="D762" s="57"/>
      <c r="E762" s="57"/>
    </row>
    <row r="763" spans="1:5">
      <c r="A763" s="57"/>
      <c r="B763" s="43"/>
      <c r="C763" s="43"/>
      <c r="D763" s="57"/>
      <c r="E763" s="57"/>
    </row>
    <row r="764" spans="1:5">
      <c r="A764" s="57"/>
      <c r="B764" s="43"/>
      <c r="C764" s="43"/>
      <c r="D764" s="57"/>
      <c r="E764" s="57"/>
    </row>
    <row r="765" spans="1:5">
      <c r="A765" s="57"/>
      <c r="B765" s="43"/>
      <c r="C765" s="43"/>
      <c r="D765" s="57"/>
      <c r="E765" s="57"/>
    </row>
    <row r="766" spans="1:5">
      <c r="A766" s="57"/>
      <c r="B766" s="43"/>
      <c r="C766" s="43"/>
      <c r="D766" s="57"/>
      <c r="E766" s="57"/>
    </row>
    <row r="767" spans="1:5">
      <c r="A767" s="57"/>
      <c r="B767" s="43"/>
      <c r="C767" s="43"/>
      <c r="D767" s="57"/>
      <c r="E767" s="57"/>
    </row>
    <row r="768" spans="1:5">
      <c r="A768" s="57"/>
      <c r="B768" s="43"/>
      <c r="C768" s="43"/>
      <c r="D768" s="57"/>
      <c r="E768" s="57"/>
    </row>
    <row r="769" spans="1:5">
      <c r="A769" s="57"/>
      <c r="B769" s="43"/>
      <c r="C769" s="43"/>
      <c r="D769" s="57"/>
      <c r="E769" s="57"/>
    </row>
    <row r="770" spans="1:5">
      <c r="A770" s="57"/>
      <c r="B770" s="43"/>
      <c r="C770" s="43"/>
      <c r="D770" s="57"/>
      <c r="E770" s="57"/>
    </row>
    <row r="771" spans="1:5">
      <c r="A771" s="57"/>
      <c r="B771" s="43"/>
      <c r="C771" s="43"/>
      <c r="D771" s="57"/>
      <c r="E771" s="57"/>
    </row>
    <row r="772" spans="1:5">
      <c r="A772" s="57"/>
      <c r="B772" s="43"/>
      <c r="C772" s="43"/>
      <c r="D772" s="57"/>
      <c r="E772" s="57"/>
    </row>
    <row r="773" spans="1:5">
      <c r="A773" s="57"/>
      <c r="B773" s="43"/>
      <c r="C773" s="43"/>
      <c r="D773" s="57"/>
      <c r="E773" s="57"/>
    </row>
    <row r="774" spans="1:5">
      <c r="A774" s="57"/>
      <c r="B774" s="43"/>
      <c r="C774" s="43"/>
      <c r="D774" s="57"/>
      <c r="E774" s="57"/>
    </row>
    <row r="775" spans="1:5">
      <c r="A775" s="57"/>
      <c r="B775" s="43"/>
      <c r="C775" s="43"/>
      <c r="D775" s="57"/>
      <c r="E775" s="57"/>
    </row>
    <row r="776" spans="1:5">
      <c r="A776" s="57"/>
      <c r="B776" s="43"/>
      <c r="C776" s="43"/>
      <c r="D776" s="57"/>
      <c r="E776" s="57"/>
    </row>
    <row r="777" spans="1:5">
      <c r="A777" s="57"/>
      <c r="B777" s="43"/>
      <c r="C777" s="43"/>
      <c r="D777" s="57"/>
      <c r="E777" s="57"/>
    </row>
    <row r="778" spans="1:5">
      <c r="A778" s="57"/>
      <c r="B778" s="43"/>
      <c r="C778" s="43"/>
      <c r="D778" s="57"/>
      <c r="E778" s="57"/>
    </row>
    <row r="779" spans="1:5">
      <c r="A779" s="57"/>
      <c r="B779" s="43"/>
      <c r="C779" s="43"/>
      <c r="D779" s="57"/>
      <c r="E779" s="57"/>
    </row>
    <row r="780" spans="1:5">
      <c r="A780" s="57"/>
      <c r="B780" s="43"/>
      <c r="C780" s="43"/>
      <c r="D780" s="57"/>
      <c r="E780" s="57"/>
    </row>
    <row r="781" spans="1:5">
      <c r="A781" s="57"/>
      <c r="B781" s="43"/>
      <c r="C781" s="43"/>
      <c r="D781" s="57"/>
      <c r="E781" s="57"/>
    </row>
    <row r="782" spans="1:5">
      <c r="A782" s="57"/>
      <c r="B782" s="43"/>
      <c r="C782" s="43"/>
      <c r="D782" s="57"/>
      <c r="E782" s="57"/>
    </row>
    <row r="783" spans="1:5">
      <c r="A783" s="57"/>
      <c r="B783" s="43"/>
      <c r="C783" s="43"/>
      <c r="D783" s="57"/>
      <c r="E783" s="57"/>
    </row>
    <row r="784" spans="1:5">
      <c r="A784" s="57"/>
      <c r="B784" s="43"/>
      <c r="C784" s="43"/>
      <c r="D784" s="57"/>
      <c r="E784" s="57"/>
    </row>
    <row r="785" spans="1:5">
      <c r="A785" s="57"/>
      <c r="B785" s="43"/>
      <c r="C785" s="43"/>
      <c r="D785" s="57"/>
      <c r="E785" s="57"/>
    </row>
    <row r="786" spans="1:5">
      <c r="A786" s="57"/>
      <c r="B786" s="43"/>
      <c r="C786" s="43"/>
      <c r="D786" s="57"/>
      <c r="E786" s="57"/>
    </row>
    <row r="787" spans="1:5">
      <c r="A787" s="57"/>
      <c r="B787" s="43"/>
      <c r="C787" s="43"/>
      <c r="D787" s="57"/>
      <c r="E787" s="57"/>
    </row>
    <row r="788" spans="1:5">
      <c r="A788" s="57"/>
      <c r="B788" s="43"/>
      <c r="C788" s="43"/>
      <c r="D788" s="57"/>
      <c r="E788" s="57"/>
    </row>
    <row r="789" spans="1:5">
      <c r="A789" s="57"/>
      <c r="B789" s="43"/>
      <c r="C789" s="43"/>
      <c r="D789" s="57"/>
      <c r="E789" s="57"/>
    </row>
    <row r="790" spans="1:5">
      <c r="A790" s="57"/>
      <c r="B790" s="43"/>
      <c r="C790" s="43"/>
      <c r="D790" s="57"/>
      <c r="E790" s="57"/>
    </row>
    <row r="791" spans="1:5">
      <c r="A791" s="57"/>
      <c r="B791" s="43"/>
      <c r="C791" s="43"/>
      <c r="D791" s="57"/>
      <c r="E791" s="57"/>
    </row>
    <row r="792" spans="1:5">
      <c r="A792" s="57"/>
      <c r="B792" s="43"/>
      <c r="C792" s="43"/>
      <c r="D792" s="57"/>
      <c r="E792" s="57"/>
    </row>
    <row r="793" spans="1:5">
      <c r="A793" s="57"/>
      <c r="B793" s="43"/>
      <c r="C793" s="43"/>
      <c r="D793" s="57"/>
      <c r="E793" s="57"/>
    </row>
    <row r="794" spans="1:5">
      <c r="A794" s="57"/>
      <c r="B794" s="43"/>
      <c r="C794" s="43"/>
      <c r="D794" s="57"/>
      <c r="E794" s="57"/>
    </row>
    <row r="795" spans="1:5">
      <c r="A795" s="57"/>
      <c r="B795" s="43"/>
      <c r="C795" s="43"/>
      <c r="D795" s="57"/>
      <c r="E795" s="57"/>
    </row>
    <row r="796" spans="1:5">
      <c r="A796" s="57"/>
      <c r="B796" s="43"/>
      <c r="C796" s="43"/>
      <c r="D796" s="57"/>
      <c r="E796" s="57"/>
    </row>
    <row r="797" spans="1:5">
      <c r="A797" s="57"/>
      <c r="B797" s="43"/>
      <c r="C797" s="43"/>
      <c r="D797" s="57"/>
      <c r="E797" s="57"/>
    </row>
    <row r="798" spans="1:5">
      <c r="A798" s="57"/>
      <c r="B798" s="43"/>
      <c r="C798" s="43"/>
      <c r="D798" s="57"/>
      <c r="E798" s="57"/>
    </row>
    <row r="799" spans="1:5">
      <c r="A799" s="57"/>
      <c r="B799" s="43"/>
      <c r="C799" s="43"/>
      <c r="D799" s="57"/>
      <c r="E799" s="57"/>
    </row>
    <row r="800" spans="1:5">
      <c r="A800" s="57"/>
      <c r="B800" s="43"/>
      <c r="C800" s="43"/>
      <c r="D800" s="57"/>
      <c r="E800" s="57"/>
    </row>
    <row r="801" spans="1:5">
      <c r="A801" s="57"/>
      <c r="B801" s="43"/>
      <c r="C801" s="43"/>
      <c r="D801" s="57"/>
      <c r="E801" s="57"/>
    </row>
    <row r="802" spans="1:5">
      <c r="A802" s="57"/>
      <c r="B802" s="43"/>
      <c r="C802" s="43"/>
      <c r="D802" s="57"/>
      <c r="E802" s="57"/>
    </row>
    <row r="803" spans="1:5">
      <c r="A803" s="57"/>
      <c r="B803" s="43"/>
      <c r="C803" s="43"/>
      <c r="D803" s="57"/>
      <c r="E803" s="57"/>
    </row>
    <row r="804" spans="1:5">
      <c r="A804" s="57"/>
      <c r="B804" s="43"/>
      <c r="C804" s="43"/>
      <c r="D804" s="57"/>
      <c r="E804" s="57"/>
    </row>
    <row r="805" spans="1:5">
      <c r="A805" s="57"/>
      <c r="B805" s="43"/>
      <c r="C805" s="43"/>
      <c r="D805" s="57"/>
      <c r="E805" s="57"/>
    </row>
    <row r="806" spans="1:5">
      <c r="A806" s="57"/>
      <c r="B806" s="43"/>
      <c r="C806" s="43"/>
      <c r="D806" s="57"/>
      <c r="E806" s="57"/>
    </row>
    <row r="807" spans="1:5">
      <c r="A807" s="57"/>
      <c r="B807" s="43"/>
      <c r="C807" s="43"/>
      <c r="D807" s="57"/>
      <c r="E807" s="57"/>
    </row>
    <row r="808" spans="1:5">
      <c r="A808" s="57"/>
      <c r="B808" s="43"/>
      <c r="C808" s="43"/>
      <c r="D808" s="57"/>
      <c r="E808" s="57"/>
    </row>
    <row r="809" spans="1:5">
      <c r="A809" s="57"/>
      <c r="B809" s="43"/>
      <c r="C809" s="43"/>
      <c r="D809" s="57"/>
      <c r="E809" s="57"/>
    </row>
    <row r="810" spans="1:5">
      <c r="A810" s="57"/>
      <c r="B810" s="43"/>
      <c r="C810" s="43"/>
      <c r="D810" s="57"/>
      <c r="E810" s="57"/>
    </row>
    <row r="811" spans="1:5">
      <c r="A811" s="57"/>
      <c r="B811" s="43"/>
      <c r="C811" s="43"/>
      <c r="D811" s="57"/>
      <c r="E811" s="57"/>
    </row>
    <row r="812" spans="1:5">
      <c r="A812" s="57"/>
      <c r="B812" s="43"/>
      <c r="C812" s="43"/>
      <c r="D812" s="57"/>
      <c r="E812" s="57"/>
    </row>
    <row r="813" spans="1:5">
      <c r="A813" s="57"/>
      <c r="B813" s="43"/>
      <c r="C813" s="43"/>
      <c r="D813" s="57"/>
      <c r="E813" s="57"/>
    </row>
    <row r="814" spans="1:5">
      <c r="A814" s="57"/>
      <c r="B814" s="43"/>
      <c r="C814" s="43"/>
      <c r="D814" s="57"/>
      <c r="E814" s="57"/>
    </row>
    <row r="815" spans="1:5">
      <c r="A815" s="57"/>
      <c r="B815" s="43"/>
      <c r="C815" s="43"/>
      <c r="D815" s="57"/>
      <c r="E815" s="57"/>
    </row>
    <row r="816" spans="1:5">
      <c r="A816" s="57"/>
      <c r="B816" s="43"/>
      <c r="C816" s="43"/>
      <c r="D816" s="57"/>
      <c r="E816" s="57"/>
    </row>
    <row r="817" spans="1:5">
      <c r="A817" s="57"/>
      <c r="B817" s="43"/>
      <c r="C817" s="43"/>
      <c r="D817" s="57"/>
      <c r="E817" s="57"/>
    </row>
    <row r="818" spans="1:5">
      <c r="A818" s="57"/>
      <c r="B818" s="43"/>
      <c r="C818" s="43"/>
      <c r="D818" s="57"/>
      <c r="E818" s="57"/>
    </row>
    <row r="819" spans="1:5">
      <c r="A819" s="57"/>
      <c r="B819" s="43"/>
      <c r="C819" s="43"/>
      <c r="D819" s="57"/>
      <c r="E819" s="57"/>
    </row>
    <row r="820" spans="1:5">
      <c r="A820" s="57"/>
      <c r="B820" s="43"/>
      <c r="C820" s="43"/>
      <c r="D820" s="57"/>
      <c r="E820" s="57"/>
    </row>
    <row r="821" spans="1:5">
      <c r="A821" s="57"/>
      <c r="B821" s="43"/>
      <c r="C821" s="43"/>
      <c r="D821" s="57"/>
      <c r="E821" s="57"/>
    </row>
    <row r="822" spans="1:5">
      <c r="A822" s="57"/>
      <c r="B822" s="43"/>
      <c r="C822" s="43"/>
      <c r="D822" s="57"/>
      <c r="E822" s="57"/>
    </row>
    <row r="823" spans="1:5">
      <c r="A823" s="57"/>
      <c r="B823" s="43"/>
      <c r="C823" s="43"/>
      <c r="D823" s="57"/>
      <c r="E823" s="57"/>
    </row>
    <row r="824" spans="1:5">
      <c r="A824" s="57"/>
      <c r="B824" s="43"/>
      <c r="C824" s="43"/>
      <c r="D824" s="57"/>
      <c r="E824" s="57"/>
    </row>
    <row r="825" spans="1:5">
      <c r="A825" s="57"/>
      <c r="B825" s="43"/>
      <c r="C825" s="43"/>
      <c r="D825" s="57"/>
      <c r="E825" s="57"/>
    </row>
    <row r="826" spans="1:5">
      <c r="A826" s="57"/>
      <c r="B826" s="43"/>
      <c r="C826" s="43"/>
      <c r="D826" s="57"/>
      <c r="E826" s="57"/>
    </row>
    <row r="827" spans="1:5">
      <c r="A827" s="57"/>
      <c r="B827" s="43"/>
      <c r="C827" s="43"/>
      <c r="D827" s="57"/>
      <c r="E827" s="57"/>
    </row>
    <row r="828" spans="1:5">
      <c r="A828" s="57"/>
      <c r="B828" s="43"/>
      <c r="C828" s="43"/>
      <c r="D828" s="57"/>
      <c r="E828" s="57"/>
    </row>
    <row r="829" spans="1:5">
      <c r="A829" s="57"/>
      <c r="B829" s="43"/>
      <c r="C829" s="43"/>
      <c r="D829" s="57"/>
      <c r="E829" s="57"/>
    </row>
    <row r="830" spans="1:5">
      <c r="A830" s="57"/>
      <c r="B830" s="43"/>
      <c r="C830" s="43"/>
      <c r="D830" s="57"/>
      <c r="E830" s="57"/>
    </row>
    <row r="831" spans="1:5">
      <c r="A831" s="57"/>
      <c r="B831" s="43"/>
      <c r="C831" s="43"/>
      <c r="D831" s="57"/>
      <c r="E831" s="57"/>
    </row>
    <row r="832" spans="1:5">
      <c r="A832" s="57"/>
      <c r="B832" s="43"/>
      <c r="C832" s="43"/>
      <c r="D832" s="57"/>
      <c r="E832" s="57"/>
    </row>
    <row r="833" spans="1:5">
      <c r="A833" s="57"/>
      <c r="B833" s="43"/>
      <c r="C833" s="43"/>
      <c r="D833" s="57"/>
      <c r="E833" s="57"/>
    </row>
    <row r="834" spans="1:5">
      <c r="A834" s="57"/>
      <c r="B834" s="43"/>
      <c r="C834" s="43"/>
      <c r="D834" s="57"/>
      <c r="E834" s="57"/>
    </row>
    <row r="835" spans="1:5">
      <c r="A835" s="57"/>
      <c r="B835" s="43"/>
      <c r="C835" s="43"/>
      <c r="D835" s="57"/>
      <c r="E835" s="57"/>
    </row>
    <row r="836" spans="1:5">
      <c r="A836" s="57"/>
      <c r="B836" s="43"/>
      <c r="C836" s="43"/>
      <c r="D836" s="57"/>
      <c r="E836" s="57"/>
    </row>
    <row r="837" spans="1:5">
      <c r="A837" s="57"/>
      <c r="B837" s="43"/>
      <c r="C837" s="43"/>
      <c r="D837" s="57"/>
      <c r="E837" s="57"/>
    </row>
    <row r="838" spans="1:5">
      <c r="A838" s="57"/>
      <c r="B838" s="43"/>
      <c r="C838" s="43"/>
      <c r="D838" s="57"/>
      <c r="E838" s="57"/>
    </row>
    <row r="839" spans="1:5">
      <c r="A839" s="57"/>
      <c r="B839" s="43"/>
      <c r="C839" s="43"/>
      <c r="D839" s="57"/>
      <c r="E839" s="57"/>
    </row>
    <row r="840" spans="1:5">
      <c r="A840" s="57"/>
      <c r="B840" s="43"/>
      <c r="C840" s="43"/>
      <c r="D840" s="57"/>
      <c r="E840" s="57"/>
    </row>
    <row r="841" spans="1:5">
      <c r="A841" s="57"/>
      <c r="B841" s="43"/>
      <c r="C841" s="43"/>
      <c r="D841" s="57"/>
      <c r="E841" s="57"/>
    </row>
    <row r="842" spans="1:5">
      <c r="A842" s="57"/>
      <c r="B842" s="43"/>
      <c r="C842" s="43"/>
      <c r="D842" s="57"/>
      <c r="E842" s="57"/>
    </row>
    <row r="843" spans="1:5">
      <c r="A843" s="57"/>
      <c r="B843" s="43"/>
      <c r="C843" s="43"/>
      <c r="D843" s="57"/>
      <c r="E843" s="57"/>
    </row>
    <row r="844" spans="1:5">
      <c r="A844" s="57"/>
      <c r="B844" s="43"/>
      <c r="C844" s="43"/>
      <c r="D844" s="57"/>
      <c r="E844" s="57"/>
    </row>
    <row r="845" spans="1:5">
      <c r="A845" s="57"/>
      <c r="B845" s="43"/>
      <c r="C845" s="43"/>
      <c r="D845" s="57"/>
      <c r="E845" s="57"/>
    </row>
    <row r="846" spans="1:5">
      <c r="A846" s="57"/>
      <c r="B846" s="43"/>
      <c r="C846" s="43"/>
      <c r="D846" s="57"/>
      <c r="E846" s="57"/>
    </row>
    <row r="847" spans="1:5">
      <c r="A847" s="57"/>
      <c r="B847" s="43"/>
      <c r="C847" s="43"/>
      <c r="D847" s="57"/>
      <c r="E847" s="57"/>
    </row>
    <row r="848" spans="1:5">
      <c r="A848" s="57"/>
      <c r="B848" s="43"/>
      <c r="C848" s="43"/>
      <c r="D848" s="57"/>
      <c r="E848" s="57"/>
    </row>
    <row r="849" spans="1:5">
      <c r="A849" s="57"/>
      <c r="B849" s="43"/>
      <c r="C849" s="43"/>
      <c r="D849" s="57"/>
      <c r="E849" s="57"/>
    </row>
    <row r="850" spans="1:5">
      <c r="A850" s="57"/>
      <c r="B850" s="43"/>
      <c r="C850" s="43"/>
      <c r="D850" s="57"/>
      <c r="E850" s="57"/>
    </row>
    <row r="851" spans="1:5">
      <c r="A851" s="57"/>
      <c r="B851" s="43"/>
      <c r="C851" s="43"/>
      <c r="D851" s="57"/>
      <c r="E851" s="57"/>
    </row>
    <row r="852" spans="1:5">
      <c r="A852" s="57"/>
      <c r="B852" s="43"/>
      <c r="C852" s="43"/>
      <c r="D852" s="57"/>
      <c r="E852" s="57"/>
    </row>
    <row r="853" spans="1:5">
      <c r="A853" s="57"/>
      <c r="B853" s="43"/>
      <c r="C853" s="43"/>
      <c r="D853" s="57"/>
      <c r="E853" s="57"/>
    </row>
    <row r="854" spans="1:5">
      <c r="A854" s="57"/>
      <c r="B854" s="43"/>
      <c r="C854" s="43"/>
      <c r="D854" s="57"/>
      <c r="E854" s="57"/>
    </row>
    <row r="855" spans="1:5">
      <c r="A855" s="57"/>
      <c r="B855" s="43"/>
      <c r="C855" s="43"/>
      <c r="D855" s="57"/>
      <c r="E855" s="57"/>
    </row>
    <row r="856" spans="1:5">
      <c r="A856" s="57"/>
      <c r="B856" s="43"/>
      <c r="C856" s="43"/>
      <c r="D856" s="57"/>
      <c r="E856" s="57"/>
    </row>
    <row r="857" spans="1:5">
      <c r="A857" s="57"/>
      <c r="B857" s="43"/>
      <c r="C857" s="43"/>
      <c r="D857" s="57"/>
      <c r="E857" s="57"/>
    </row>
    <row r="858" spans="1:5">
      <c r="A858" s="57"/>
      <c r="B858" s="43"/>
      <c r="C858" s="43"/>
      <c r="D858" s="57"/>
      <c r="E858" s="57"/>
    </row>
    <row r="859" spans="1:5">
      <c r="A859" s="57"/>
      <c r="B859" s="43"/>
      <c r="C859" s="43"/>
      <c r="D859" s="57"/>
      <c r="E859" s="57"/>
    </row>
    <row r="860" spans="1:5">
      <c r="A860" s="57"/>
      <c r="B860" s="43"/>
      <c r="C860" s="43"/>
      <c r="D860" s="57"/>
      <c r="E860" s="57"/>
    </row>
    <row r="861" spans="1:5">
      <c r="A861" s="57"/>
      <c r="B861" s="43"/>
      <c r="C861" s="43"/>
      <c r="D861" s="57"/>
      <c r="E861" s="57"/>
    </row>
    <row r="862" spans="1:5">
      <c r="A862" s="57"/>
      <c r="B862" s="43"/>
      <c r="C862" s="43"/>
      <c r="D862" s="57"/>
      <c r="E862" s="57"/>
    </row>
    <row r="863" spans="1:5">
      <c r="A863" s="57"/>
      <c r="B863" s="43"/>
      <c r="C863" s="43"/>
      <c r="D863" s="57"/>
      <c r="E863" s="57"/>
    </row>
    <row r="864" spans="1:5">
      <c r="A864" s="57"/>
      <c r="B864" s="43"/>
      <c r="C864" s="43"/>
      <c r="D864" s="57"/>
      <c r="E864" s="57"/>
    </row>
    <row r="865" spans="1:5">
      <c r="A865" s="57"/>
      <c r="B865" s="43"/>
      <c r="C865" s="43"/>
      <c r="D865" s="57"/>
      <c r="E865" s="57"/>
    </row>
    <row r="866" spans="1:5">
      <c r="A866" s="57"/>
      <c r="B866" s="43"/>
      <c r="C866" s="43"/>
      <c r="D866" s="57"/>
      <c r="E866" s="57"/>
    </row>
    <row r="867" spans="1:5">
      <c r="A867" s="57"/>
      <c r="B867" s="43"/>
      <c r="C867" s="43"/>
      <c r="D867" s="57"/>
      <c r="E867" s="57"/>
    </row>
    <row r="868" spans="1:5">
      <c r="A868" s="57"/>
      <c r="B868" s="43"/>
      <c r="C868" s="43"/>
      <c r="D868" s="57"/>
      <c r="E868" s="57"/>
    </row>
    <row r="869" spans="1:5">
      <c r="A869" s="57"/>
      <c r="B869" s="43"/>
      <c r="C869" s="43"/>
      <c r="D869" s="57"/>
      <c r="E869" s="57"/>
    </row>
    <row r="870" spans="1:5">
      <c r="A870" s="57"/>
      <c r="B870" s="43"/>
      <c r="C870" s="43"/>
      <c r="D870" s="57"/>
      <c r="E870" s="57"/>
    </row>
    <row r="871" spans="1:5">
      <c r="A871" s="57"/>
      <c r="B871" s="43"/>
      <c r="C871" s="43"/>
      <c r="D871" s="57"/>
      <c r="E871" s="57"/>
    </row>
    <row r="872" spans="1:5">
      <c r="A872" s="57"/>
      <c r="B872" s="43"/>
      <c r="C872" s="43"/>
      <c r="D872" s="57"/>
      <c r="E872" s="57"/>
    </row>
    <row r="873" spans="1:5">
      <c r="A873" s="57"/>
      <c r="B873" s="43"/>
      <c r="C873" s="43"/>
      <c r="D873" s="57"/>
      <c r="E873" s="57"/>
    </row>
    <row r="874" spans="1:5">
      <c r="A874" s="57"/>
      <c r="B874" s="43"/>
      <c r="C874" s="43"/>
      <c r="D874" s="57"/>
      <c r="E874" s="57"/>
    </row>
    <row r="875" spans="1:5">
      <c r="A875" s="57"/>
      <c r="B875" s="43"/>
      <c r="C875" s="43"/>
      <c r="D875" s="57"/>
      <c r="E875" s="57"/>
    </row>
    <row r="876" spans="1:5">
      <c r="A876" s="57"/>
      <c r="B876" s="43"/>
      <c r="C876" s="43"/>
      <c r="D876" s="57"/>
      <c r="E876" s="57"/>
    </row>
    <row r="877" spans="1:5">
      <c r="A877" s="57"/>
      <c r="B877" s="43"/>
      <c r="C877" s="43"/>
      <c r="D877" s="57"/>
      <c r="E877" s="57"/>
    </row>
    <row r="878" spans="1:5">
      <c r="A878" s="57"/>
      <c r="B878" s="43"/>
      <c r="C878" s="43"/>
      <c r="D878" s="57"/>
      <c r="E878" s="57"/>
    </row>
    <row r="879" spans="1:5">
      <c r="A879" s="57"/>
      <c r="B879" s="43"/>
      <c r="C879" s="43"/>
      <c r="D879" s="57"/>
      <c r="E879" s="57"/>
    </row>
    <row r="880" spans="1:5">
      <c r="A880" s="57"/>
      <c r="B880" s="43"/>
      <c r="C880" s="43"/>
      <c r="D880" s="57"/>
      <c r="E880" s="57"/>
    </row>
    <row r="881" spans="1:5">
      <c r="A881" s="57"/>
      <c r="B881" s="43"/>
      <c r="C881" s="43"/>
      <c r="D881" s="57"/>
      <c r="E881" s="57"/>
    </row>
    <row r="882" spans="1:5">
      <c r="A882" s="57"/>
      <c r="B882" s="43"/>
      <c r="C882" s="43"/>
      <c r="D882" s="57"/>
      <c r="E882" s="57"/>
    </row>
    <row r="883" spans="1:5">
      <c r="A883" s="57"/>
      <c r="B883" s="43"/>
      <c r="C883" s="43"/>
      <c r="D883" s="57"/>
      <c r="E883" s="57"/>
    </row>
    <row r="884" spans="1:5">
      <c r="A884" s="57"/>
      <c r="B884" s="43"/>
      <c r="C884" s="43"/>
      <c r="D884" s="57"/>
      <c r="E884" s="57"/>
    </row>
    <row r="885" spans="1:5">
      <c r="A885" s="57"/>
      <c r="B885" s="43"/>
      <c r="C885" s="43"/>
      <c r="D885" s="57"/>
      <c r="E885" s="57"/>
    </row>
    <row r="886" spans="1:5">
      <c r="A886" s="57"/>
      <c r="B886" s="43"/>
      <c r="C886" s="43"/>
      <c r="D886" s="57"/>
      <c r="E886" s="57"/>
    </row>
    <row r="887" spans="1:5">
      <c r="A887" s="57"/>
      <c r="B887" s="43"/>
      <c r="C887" s="43"/>
      <c r="D887" s="57"/>
      <c r="E887" s="57"/>
    </row>
    <row r="888" spans="1:5">
      <c r="A888" s="57"/>
      <c r="B888" s="43"/>
      <c r="C888" s="43"/>
      <c r="D888" s="57"/>
      <c r="E888" s="57"/>
    </row>
    <row r="889" spans="1:5">
      <c r="A889" s="57"/>
      <c r="B889" s="43"/>
      <c r="C889" s="43"/>
      <c r="D889" s="57"/>
      <c r="E889" s="57"/>
    </row>
    <row r="890" spans="1:5">
      <c r="A890" s="57"/>
      <c r="B890" s="43"/>
      <c r="C890" s="43"/>
      <c r="D890" s="57"/>
      <c r="E890" s="57"/>
    </row>
    <row r="891" spans="1:5">
      <c r="A891" s="57"/>
      <c r="B891" s="43"/>
      <c r="C891" s="43"/>
      <c r="D891" s="57"/>
      <c r="E891" s="57"/>
    </row>
    <row r="892" spans="1:5">
      <c r="A892" s="57"/>
      <c r="B892" s="43"/>
      <c r="C892" s="43"/>
      <c r="D892" s="57"/>
      <c r="E892" s="57"/>
    </row>
    <row r="893" spans="1:5">
      <c r="A893" s="57"/>
      <c r="B893" s="43"/>
      <c r="C893" s="43"/>
      <c r="D893" s="57"/>
      <c r="E893" s="57"/>
    </row>
    <row r="894" spans="1:5">
      <c r="A894" s="57"/>
      <c r="B894" s="43"/>
      <c r="C894" s="43"/>
      <c r="D894" s="57"/>
      <c r="E894" s="57"/>
    </row>
    <row r="895" spans="1:5">
      <c r="A895" s="57"/>
      <c r="B895" s="43"/>
      <c r="C895" s="43"/>
      <c r="D895" s="57"/>
      <c r="E895" s="57"/>
    </row>
    <row r="896" spans="1:5">
      <c r="A896" s="57"/>
      <c r="B896" s="43"/>
      <c r="C896" s="43"/>
      <c r="D896" s="57"/>
      <c r="E896" s="57"/>
    </row>
    <row r="897" spans="1:5">
      <c r="A897" s="57"/>
      <c r="B897" s="43"/>
      <c r="C897" s="43"/>
      <c r="D897" s="57"/>
      <c r="E897" s="57"/>
    </row>
    <row r="898" spans="1:5">
      <c r="A898" s="57"/>
      <c r="B898" s="43"/>
      <c r="C898" s="43"/>
      <c r="D898" s="57"/>
      <c r="E898" s="57"/>
    </row>
    <row r="899" spans="1:5">
      <c r="A899" s="57"/>
      <c r="B899" s="43"/>
      <c r="C899" s="43"/>
      <c r="D899" s="57"/>
      <c r="E899" s="57"/>
    </row>
    <row r="900" spans="1:5">
      <c r="A900" s="57"/>
      <c r="B900" s="43"/>
      <c r="C900" s="43"/>
      <c r="D900" s="57"/>
      <c r="E900" s="57"/>
    </row>
    <row r="901" spans="1:5">
      <c r="A901" s="57"/>
      <c r="B901" s="43"/>
      <c r="C901" s="43"/>
      <c r="D901" s="57"/>
      <c r="E901" s="57"/>
    </row>
    <row r="902" spans="1:5">
      <c r="A902" s="57"/>
      <c r="B902" s="43"/>
      <c r="C902" s="43"/>
      <c r="D902" s="57"/>
      <c r="E902" s="57"/>
    </row>
    <row r="903" spans="1:5">
      <c r="A903" s="57"/>
      <c r="B903" s="43"/>
      <c r="C903" s="43"/>
      <c r="D903" s="57"/>
      <c r="E903" s="57"/>
    </row>
    <row r="904" spans="1:5">
      <c r="A904" s="57"/>
      <c r="B904" s="43"/>
      <c r="C904" s="43"/>
      <c r="D904" s="57"/>
      <c r="E904" s="57"/>
    </row>
    <row r="905" spans="1:5">
      <c r="A905" s="57"/>
      <c r="B905" s="43"/>
      <c r="C905" s="43"/>
      <c r="D905" s="57"/>
      <c r="E905" s="57"/>
    </row>
    <row r="906" spans="1:5">
      <c r="A906" s="57"/>
      <c r="B906" s="43"/>
      <c r="C906" s="43"/>
      <c r="D906" s="57"/>
      <c r="E906" s="57"/>
    </row>
    <row r="907" spans="1:5">
      <c r="A907" s="57"/>
      <c r="B907" s="43"/>
      <c r="C907" s="43"/>
      <c r="D907" s="57"/>
      <c r="E907" s="57"/>
    </row>
    <row r="908" spans="1:5">
      <c r="A908" s="57"/>
      <c r="B908" s="43"/>
      <c r="C908" s="43"/>
      <c r="D908" s="57"/>
      <c r="E908" s="57"/>
    </row>
    <row r="909" spans="1:5">
      <c r="A909" s="57"/>
      <c r="B909" s="43"/>
      <c r="C909" s="43"/>
      <c r="D909" s="57"/>
      <c r="E909" s="57"/>
    </row>
    <row r="910" spans="1:5">
      <c r="A910" s="57"/>
      <c r="B910" s="43"/>
      <c r="C910" s="43"/>
      <c r="D910" s="57"/>
      <c r="E910" s="57"/>
    </row>
    <row r="911" spans="1:5">
      <c r="A911" s="57"/>
      <c r="B911" s="43"/>
      <c r="C911" s="43"/>
      <c r="D911" s="57"/>
      <c r="E911" s="57"/>
    </row>
    <row r="912" spans="1:5">
      <c r="A912" s="57"/>
      <c r="B912" s="43"/>
      <c r="C912" s="43"/>
      <c r="D912" s="57"/>
      <c r="E912" s="57"/>
    </row>
    <row r="913" spans="1:5">
      <c r="A913" s="57"/>
      <c r="B913" s="43"/>
      <c r="C913" s="43"/>
      <c r="D913" s="57"/>
      <c r="E913" s="57"/>
    </row>
    <row r="914" spans="1:5">
      <c r="A914" s="57"/>
      <c r="B914" s="43"/>
      <c r="C914" s="43"/>
      <c r="D914" s="57"/>
      <c r="E914" s="57"/>
    </row>
    <row r="915" spans="1:5">
      <c r="A915" s="57"/>
      <c r="B915" s="43"/>
      <c r="C915" s="43"/>
      <c r="D915" s="57"/>
      <c r="E915" s="57"/>
    </row>
    <row r="916" spans="1:5">
      <c r="A916" s="57"/>
      <c r="B916" s="43"/>
      <c r="C916" s="43"/>
      <c r="D916" s="57"/>
      <c r="E916" s="57"/>
    </row>
    <row r="917" spans="1:5">
      <c r="A917" s="57"/>
      <c r="B917" s="43"/>
      <c r="C917" s="43"/>
      <c r="D917" s="57"/>
      <c r="E917" s="57"/>
    </row>
    <row r="918" spans="1:5">
      <c r="A918" s="57"/>
      <c r="B918" s="43"/>
      <c r="C918" s="43"/>
      <c r="D918" s="57"/>
      <c r="E918" s="57"/>
    </row>
    <row r="919" spans="1:5">
      <c r="A919" s="57"/>
      <c r="B919" s="43"/>
      <c r="C919" s="43"/>
      <c r="D919" s="57"/>
      <c r="E919" s="57"/>
    </row>
    <row r="920" spans="1:5">
      <c r="A920" s="57"/>
      <c r="B920" s="43"/>
      <c r="C920" s="43"/>
      <c r="D920" s="57"/>
      <c r="E920" s="57"/>
    </row>
    <row r="921" spans="1:5">
      <c r="A921" s="57"/>
      <c r="B921" s="43"/>
      <c r="C921" s="43"/>
      <c r="D921" s="57"/>
      <c r="E921" s="57"/>
    </row>
    <row r="922" spans="1:5">
      <c r="A922" s="57"/>
      <c r="B922" s="43"/>
      <c r="C922" s="43"/>
      <c r="D922" s="57"/>
      <c r="E922" s="57"/>
    </row>
    <row r="923" spans="1:5">
      <c r="A923" s="57"/>
      <c r="B923" s="43"/>
      <c r="C923" s="43"/>
      <c r="D923" s="57"/>
      <c r="E923" s="57"/>
    </row>
    <row r="924" spans="1:5">
      <c r="A924" s="57"/>
      <c r="B924" s="43"/>
      <c r="C924" s="43"/>
      <c r="D924" s="57"/>
      <c r="E924" s="57"/>
    </row>
    <row r="925" spans="1:5">
      <c r="A925" s="57"/>
      <c r="B925" s="43"/>
      <c r="C925" s="43"/>
      <c r="D925" s="57"/>
      <c r="E925" s="57"/>
    </row>
    <row r="926" spans="1:5">
      <c r="A926" s="57"/>
      <c r="B926" s="43"/>
      <c r="C926" s="43"/>
      <c r="D926" s="57"/>
      <c r="E926" s="57"/>
    </row>
    <row r="927" spans="1:5">
      <c r="A927" s="57"/>
      <c r="B927" s="43"/>
      <c r="C927" s="43"/>
      <c r="D927" s="57"/>
      <c r="E927" s="57"/>
    </row>
    <row r="928" spans="1:5">
      <c r="A928" s="57"/>
      <c r="B928" s="43"/>
      <c r="C928" s="43"/>
      <c r="D928" s="57"/>
      <c r="E928" s="57"/>
    </row>
    <row r="929" spans="1:5">
      <c r="A929" s="57"/>
      <c r="B929" s="43"/>
      <c r="C929" s="43"/>
      <c r="D929" s="57"/>
      <c r="E929" s="57"/>
    </row>
    <row r="930" spans="1:5">
      <c r="A930" s="57"/>
      <c r="B930" s="43"/>
      <c r="C930" s="43"/>
      <c r="D930" s="57"/>
      <c r="E930" s="57"/>
    </row>
    <row r="931" spans="1:5">
      <c r="A931" s="57"/>
      <c r="B931" s="43"/>
      <c r="C931" s="43"/>
      <c r="D931" s="57"/>
      <c r="E931" s="57"/>
    </row>
    <row r="932" spans="1:5">
      <c r="A932" s="57"/>
      <c r="B932" s="43"/>
      <c r="C932" s="43"/>
      <c r="D932" s="57"/>
      <c r="E932" s="57"/>
    </row>
    <row r="933" spans="1:5">
      <c r="A933" s="57"/>
      <c r="B933" s="43"/>
      <c r="C933" s="43"/>
      <c r="D933" s="57"/>
      <c r="E933" s="57"/>
    </row>
    <row r="934" spans="1:5">
      <c r="A934" s="57"/>
      <c r="B934" s="43"/>
      <c r="C934" s="43"/>
      <c r="D934" s="57"/>
      <c r="E934" s="57"/>
    </row>
    <row r="935" spans="1:5">
      <c r="A935" s="57"/>
      <c r="B935" s="43"/>
      <c r="C935" s="43"/>
      <c r="D935" s="57"/>
      <c r="E935" s="57"/>
    </row>
    <row r="936" spans="1:5">
      <c r="A936" s="57"/>
      <c r="B936" s="43"/>
      <c r="C936" s="43"/>
      <c r="D936" s="57"/>
      <c r="E936" s="57"/>
    </row>
    <row r="937" spans="1:5">
      <c r="A937" s="57"/>
      <c r="B937" s="43"/>
      <c r="C937" s="43"/>
      <c r="D937" s="57"/>
      <c r="E937" s="57"/>
    </row>
    <row r="938" spans="1:5">
      <c r="A938" s="57"/>
      <c r="B938" s="43"/>
      <c r="C938" s="43"/>
      <c r="D938" s="57"/>
      <c r="E938" s="57"/>
    </row>
    <row r="939" spans="1:5">
      <c r="A939" s="57"/>
      <c r="B939" s="43"/>
      <c r="C939" s="43"/>
      <c r="D939" s="57"/>
      <c r="E939" s="57"/>
    </row>
    <row r="940" spans="1:5">
      <c r="A940" s="57"/>
      <c r="B940" s="43"/>
      <c r="C940" s="43"/>
      <c r="D940" s="57"/>
      <c r="E940" s="57"/>
    </row>
    <row r="941" spans="1:5">
      <c r="A941" s="57"/>
      <c r="B941" s="43"/>
      <c r="C941" s="43"/>
      <c r="D941" s="57"/>
      <c r="E941" s="57"/>
    </row>
    <row r="942" spans="1:5">
      <c r="A942" s="57"/>
      <c r="B942" s="43"/>
      <c r="C942" s="43"/>
      <c r="D942" s="57"/>
      <c r="E942" s="57"/>
    </row>
    <row r="943" spans="1:5">
      <c r="A943" s="57"/>
      <c r="B943" s="43"/>
      <c r="C943" s="43"/>
      <c r="D943" s="57"/>
      <c r="E943" s="57"/>
    </row>
    <row r="944" spans="1:5">
      <c r="A944" s="57"/>
      <c r="B944" s="43"/>
      <c r="C944" s="43"/>
      <c r="D944" s="57"/>
      <c r="E944" s="57"/>
    </row>
    <row r="945" spans="1:5">
      <c r="A945" s="57"/>
      <c r="B945" s="43"/>
      <c r="C945" s="43"/>
      <c r="D945" s="57"/>
      <c r="E945" s="57"/>
    </row>
    <row r="946" spans="1:5">
      <c r="A946" s="57"/>
      <c r="B946" s="43"/>
      <c r="C946" s="43"/>
      <c r="D946" s="57"/>
      <c r="E946" s="57"/>
    </row>
    <row r="947" spans="1:5">
      <c r="A947" s="57"/>
      <c r="B947" s="43"/>
      <c r="C947" s="43"/>
      <c r="D947" s="57"/>
      <c r="E947" s="57"/>
    </row>
    <row r="948" spans="1:5">
      <c r="A948" s="57"/>
      <c r="B948" s="43"/>
      <c r="C948" s="43"/>
      <c r="D948" s="57"/>
      <c r="E948" s="57"/>
    </row>
    <row r="949" spans="1:5">
      <c r="A949" s="57"/>
      <c r="B949" s="43"/>
      <c r="C949" s="43"/>
      <c r="D949" s="57"/>
      <c r="E949" s="57"/>
    </row>
    <row r="950" spans="1:5">
      <c r="A950" s="57"/>
      <c r="B950" s="43"/>
      <c r="C950" s="43"/>
      <c r="D950" s="57"/>
      <c r="E950" s="57"/>
    </row>
    <row r="951" spans="1:5">
      <c r="A951" s="57"/>
      <c r="B951" s="43"/>
      <c r="C951" s="43"/>
      <c r="D951" s="57"/>
      <c r="E951" s="57"/>
    </row>
    <row r="952" spans="1:5">
      <c r="A952" s="57"/>
      <c r="B952" s="43"/>
      <c r="C952" s="43"/>
      <c r="D952" s="57"/>
      <c r="E952" s="57"/>
    </row>
    <row r="953" spans="1:5">
      <c r="A953" s="57"/>
      <c r="B953" s="43"/>
      <c r="C953" s="43"/>
      <c r="D953" s="57"/>
      <c r="E953" s="57"/>
    </row>
    <row r="954" spans="1:5">
      <c r="A954" s="57"/>
      <c r="B954" s="43"/>
      <c r="C954" s="43"/>
      <c r="D954" s="57"/>
      <c r="E954" s="57"/>
    </row>
    <row r="955" spans="1:5">
      <c r="A955" s="57"/>
      <c r="B955" s="43"/>
      <c r="C955" s="43"/>
      <c r="D955" s="57"/>
      <c r="E955" s="57"/>
    </row>
    <row r="956" spans="1:5">
      <c r="A956" s="57"/>
      <c r="B956" s="43"/>
      <c r="C956" s="43"/>
      <c r="D956" s="57"/>
      <c r="E956" s="57"/>
    </row>
    <row r="957" spans="1:5">
      <c r="A957" s="57"/>
      <c r="B957" s="43"/>
      <c r="C957" s="43"/>
      <c r="D957" s="57"/>
      <c r="E957" s="57"/>
    </row>
    <row r="958" spans="1:5">
      <c r="A958" s="57"/>
      <c r="B958" s="43"/>
      <c r="C958" s="43"/>
      <c r="D958" s="57"/>
      <c r="E958" s="57"/>
    </row>
    <row r="959" spans="1:5">
      <c r="A959" s="57"/>
      <c r="B959" s="43"/>
      <c r="C959" s="43"/>
      <c r="D959" s="57"/>
      <c r="E959" s="57"/>
    </row>
    <row r="960" spans="1:5">
      <c r="A960" s="57"/>
      <c r="B960" s="43"/>
      <c r="C960" s="43"/>
      <c r="D960" s="57"/>
      <c r="E960" s="57"/>
    </row>
    <row r="961" spans="1:5">
      <c r="A961" s="57"/>
      <c r="B961" s="43"/>
      <c r="C961" s="43"/>
      <c r="D961" s="57"/>
      <c r="E961" s="57"/>
    </row>
    <row r="962" spans="1:5">
      <c r="A962" s="57"/>
      <c r="B962" s="43"/>
      <c r="C962" s="43"/>
      <c r="D962" s="57"/>
      <c r="E962" s="57"/>
    </row>
    <row r="963" spans="1:5">
      <c r="A963" s="57"/>
      <c r="B963" s="43"/>
      <c r="C963" s="43"/>
      <c r="D963" s="57"/>
      <c r="E963" s="57"/>
    </row>
    <row r="964" spans="1:5">
      <c r="A964" s="57"/>
      <c r="B964" s="43"/>
      <c r="C964" s="43"/>
      <c r="D964" s="57"/>
      <c r="E964" s="57"/>
    </row>
    <row r="965" spans="1:5">
      <c r="A965" s="57"/>
      <c r="B965" s="43"/>
      <c r="C965" s="43"/>
      <c r="D965" s="57"/>
      <c r="E965" s="57"/>
    </row>
    <row r="966" spans="1:5">
      <c r="A966" s="57"/>
      <c r="B966" s="43"/>
      <c r="C966" s="43"/>
      <c r="D966" s="57"/>
      <c r="E966" s="57"/>
    </row>
    <row r="967" spans="1:5">
      <c r="A967" s="57"/>
      <c r="B967" s="43"/>
      <c r="C967" s="43"/>
      <c r="D967" s="57"/>
      <c r="E967" s="57"/>
    </row>
    <row r="968" spans="1:5">
      <c r="A968" s="57"/>
      <c r="B968" s="43"/>
      <c r="C968" s="43"/>
      <c r="D968" s="57"/>
      <c r="E968" s="57"/>
    </row>
    <row r="969" spans="1:5">
      <c r="A969" s="57"/>
      <c r="B969" s="43"/>
      <c r="C969" s="43"/>
      <c r="D969" s="57"/>
      <c r="E969" s="57"/>
    </row>
    <row r="970" spans="1:5">
      <c r="A970" s="57"/>
      <c r="B970" s="43"/>
      <c r="C970" s="43"/>
      <c r="D970" s="57"/>
      <c r="E970" s="57"/>
    </row>
    <row r="971" spans="1:5">
      <c r="A971" s="57"/>
      <c r="B971" s="43"/>
      <c r="C971" s="43"/>
      <c r="D971" s="57"/>
      <c r="E971" s="57"/>
    </row>
    <row r="972" spans="1:5">
      <c r="A972" s="57"/>
      <c r="B972" s="43"/>
      <c r="C972" s="43"/>
      <c r="D972" s="57"/>
      <c r="E972" s="57"/>
    </row>
    <row r="973" spans="1:5">
      <c r="A973" s="57"/>
      <c r="B973" s="43"/>
      <c r="C973" s="43"/>
      <c r="D973" s="57"/>
      <c r="E973" s="57"/>
    </row>
    <row r="974" spans="1:5">
      <c r="A974" s="57"/>
      <c r="B974" s="43"/>
      <c r="C974" s="43"/>
      <c r="D974" s="57"/>
      <c r="E974" s="57"/>
    </row>
    <row r="975" spans="1:5">
      <c r="A975" s="57"/>
      <c r="B975" s="43"/>
      <c r="C975" s="43"/>
      <c r="D975" s="57"/>
      <c r="E975" s="57"/>
    </row>
    <row r="976" spans="1:5">
      <c r="A976" s="57"/>
      <c r="B976" s="43"/>
      <c r="C976" s="43"/>
      <c r="D976" s="57"/>
      <c r="E976" s="57"/>
    </row>
    <row r="977" spans="1:5">
      <c r="A977" s="57"/>
      <c r="B977" s="43"/>
      <c r="C977" s="43"/>
      <c r="D977" s="57"/>
      <c r="E977" s="57"/>
    </row>
    <row r="978" spans="1:5">
      <c r="A978" s="57"/>
      <c r="B978" s="43"/>
      <c r="C978" s="43"/>
      <c r="D978" s="57"/>
      <c r="E978" s="57"/>
    </row>
    <row r="979" spans="1:5">
      <c r="A979" s="57"/>
      <c r="B979" s="43"/>
      <c r="C979" s="43"/>
      <c r="D979" s="57"/>
      <c r="E979" s="57"/>
    </row>
    <row r="980" spans="1:5">
      <c r="A980" s="57"/>
      <c r="B980" s="43"/>
      <c r="C980" s="43"/>
      <c r="D980" s="57"/>
      <c r="E980" s="57"/>
    </row>
    <row r="981" spans="1:5">
      <c r="A981" s="57"/>
      <c r="B981" s="43"/>
      <c r="C981" s="43"/>
      <c r="D981" s="57"/>
      <c r="E981" s="57"/>
    </row>
    <row r="982" spans="1:5">
      <c r="A982" s="57"/>
      <c r="B982" s="43"/>
      <c r="C982" s="43"/>
      <c r="D982" s="57"/>
      <c r="E982" s="57"/>
    </row>
    <row r="983" spans="1:5">
      <c r="A983" s="57"/>
      <c r="B983" s="43"/>
      <c r="C983" s="43"/>
      <c r="D983" s="57"/>
      <c r="E983" s="57"/>
    </row>
    <row r="984" spans="1:5">
      <c r="A984" s="57"/>
      <c r="B984" s="43"/>
      <c r="C984" s="43"/>
      <c r="D984" s="57"/>
      <c r="E984" s="57"/>
    </row>
    <row r="985" spans="1:5">
      <c r="A985" s="57"/>
      <c r="B985" s="43"/>
      <c r="C985" s="43"/>
      <c r="D985" s="57"/>
      <c r="E985" s="57"/>
    </row>
    <row r="986" spans="1:5">
      <c r="A986" s="57"/>
      <c r="B986" s="43"/>
      <c r="C986" s="43"/>
      <c r="D986" s="57"/>
      <c r="E986" s="57"/>
    </row>
    <row r="987" spans="1:5">
      <c r="A987" s="57"/>
      <c r="B987" s="43"/>
      <c r="C987" s="43"/>
      <c r="D987" s="57"/>
      <c r="E987" s="57"/>
    </row>
    <row r="988" spans="1:5">
      <c r="A988" s="57"/>
      <c r="B988" s="43"/>
      <c r="C988" s="43"/>
      <c r="D988" s="57"/>
      <c r="E988" s="57"/>
    </row>
    <row r="989" spans="1:5">
      <c r="A989" s="57"/>
      <c r="B989" s="43"/>
      <c r="C989" s="43"/>
      <c r="D989" s="57"/>
      <c r="E989" s="57"/>
    </row>
    <row r="990" spans="1:5">
      <c r="A990" s="57"/>
      <c r="B990" s="43"/>
      <c r="C990" s="43"/>
      <c r="D990" s="57"/>
      <c r="E990" s="57"/>
    </row>
    <row r="991" spans="1:5">
      <c r="A991" s="57"/>
      <c r="B991" s="43"/>
      <c r="C991" s="43"/>
      <c r="D991" s="57"/>
      <c r="E991" s="57"/>
    </row>
    <row r="992" spans="1:5">
      <c r="A992" s="57"/>
      <c r="B992" s="43"/>
      <c r="C992" s="43"/>
      <c r="D992" s="57"/>
      <c r="E992" s="57"/>
    </row>
    <row r="993" spans="1:5">
      <c r="A993" s="57"/>
      <c r="B993" s="43"/>
      <c r="C993" s="43"/>
      <c r="D993" s="57"/>
      <c r="E993" s="57"/>
    </row>
    <row r="994" spans="1:5">
      <c r="A994" s="57"/>
      <c r="B994" s="43"/>
      <c r="C994" s="43"/>
      <c r="D994" s="57"/>
      <c r="E994" s="57"/>
    </row>
    <row r="995" spans="1:5">
      <c r="A995" s="57"/>
      <c r="B995" s="43"/>
      <c r="C995" s="43"/>
      <c r="D995" s="57"/>
      <c r="E995" s="57"/>
    </row>
    <row r="996" spans="1:5">
      <c r="A996" s="57"/>
      <c r="B996" s="43"/>
      <c r="C996" s="43"/>
      <c r="D996" s="57"/>
      <c r="E996" s="57"/>
    </row>
    <row r="997" spans="1:5">
      <c r="A997" s="57"/>
      <c r="B997" s="43"/>
      <c r="C997" s="43"/>
      <c r="D997" s="57"/>
      <c r="E997" s="57"/>
    </row>
    <row r="998" spans="1:5">
      <c r="A998" s="57"/>
      <c r="B998" s="43"/>
      <c r="C998" s="43"/>
      <c r="D998" s="57"/>
      <c r="E998" s="57"/>
    </row>
    <row r="999" spans="1:5">
      <c r="A999" s="57"/>
      <c r="B999" s="43"/>
      <c r="C999" s="43"/>
      <c r="D999" s="57"/>
      <c r="E999" s="57"/>
    </row>
    <row r="1000" spans="1:5">
      <c r="A1000" s="57"/>
      <c r="B1000" s="43"/>
      <c r="C1000" s="43"/>
      <c r="D1000" s="57"/>
      <c r="E1000" s="57"/>
    </row>
    <row r="1001" spans="1:5">
      <c r="A1001" s="57"/>
      <c r="B1001" s="43"/>
      <c r="C1001" s="43"/>
      <c r="D1001" s="57"/>
      <c r="E1001" s="57"/>
    </row>
    <row r="1002" spans="1:5">
      <c r="A1002" s="57"/>
      <c r="B1002" s="43"/>
      <c r="C1002" s="43"/>
      <c r="D1002" s="57"/>
      <c r="E1002" s="57"/>
    </row>
    <row r="1003" spans="1:5">
      <c r="A1003" s="57"/>
      <c r="B1003" s="43"/>
      <c r="C1003" s="43"/>
      <c r="D1003" s="57"/>
      <c r="E1003" s="57"/>
    </row>
    <row r="1004" spans="1:5">
      <c r="A1004" s="57"/>
      <c r="B1004" s="43"/>
      <c r="C1004" s="43"/>
      <c r="D1004" s="57"/>
      <c r="E1004" s="57"/>
    </row>
    <row r="1005" spans="1:5">
      <c r="A1005" s="57"/>
      <c r="B1005" s="43"/>
      <c r="C1005" s="43"/>
      <c r="D1005" s="57"/>
      <c r="E1005" s="57"/>
    </row>
    <row r="1006" spans="1:5">
      <c r="A1006" s="57"/>
      <c r="B1006" s="43"/>
      <c r="C1006" s="43"/>
      <c r="D1006" s="57"/>
      <c r="E1006" s="57"/>
    </row>
    <row r="1007" spans="1:5">
      <c r="A1007" s="57"/>
      <c r="B1007" s="43"/>
      <c r="C1007" s="43"/>
      <c r="D1007" s="57"/>
      <c r="E1007" s="57"/>
    </row>
  </sheetData>
  <autoFilter ref="A2:M134" xr:uid="{00000000-0001-0000-0200-000000000000}">
    <filterColumn colId="9">
      <customFilters>
        <customFilter operator="notEqual" val=" "/>
      </customFilters>
    </filterColumn>
  </autoFilter>
  <mergeCells count="35">
    <mergeCell ref="A47:A56"/>
    <mergeCell ref="B47:B52"/>
    <mergeCell ref="B53:B56"/>
    <mergeCell ref="A1:E1"/>
    <mergeCell ref="F1:N1"/>
    <mergeCell ref="A3:A11"/>
    <mergeCell ref="B3:B10"/>
    <mergeCell ref="A12:A27"/>
    <mergeCell ref="B12:B22"/>
    <mergeCell ref="B23:B27"/>
    <mergeCell ref="A28:A30"/>
    <mergeCell ref="A31:A46"/>
    <mergeCell ref="B32:B37"/>
    <mergeCell ref="B38:B41"/>
    <mergeCell ref="B42:B46"/>
    <mergeCell ref="A57:A105"/>
    <mergeCell ref="B57:B70"/>
    <mergeCell ref="B71:B80"/>
    <mergeCell ref="B81:B84"/>
    <mergeCell ref="B85:B87"/>
    <mergeCell ref="B88:B90"/>
    <mergeCell ref="B91:B94"/>
    <mergeCell ref="B95:B98"/>
    <mergeCell ref="B99:B102"/>
    <mergeCell ref="B103:B105"/>
    <mergeCell ref="A126:A134"/>
    <mergeCell ref="B126:B134"/>
    <mergeCell ref="A106:A119"/>
    <mergeCell ref="B106:B108"/>
    <mergeCell ref="B109:B112"/>
    <mergeCell ref="B113:B116"/>
    <mergeCell ref="B117:B119"/>
    <mergeCell ref="A120:A125"/>
    <mergeCell ref="B120:B122"/>
    <mergeCell ref="B123:B125"/>
  </mergeCells>
  <hyperlinks>
    <hyperlink ref="D117" r:id="rId1" display="../../../../../:x:/s/TenderParametrischmodelonderwijshuisvesting2025/IQBXh4I_vK5UTqDt7vR55hp2AaeEKqJpxzcgpTEQag4GD1Y?email=g.jonkheer%40bdh.nl&amp;e=4vtgt3" xr:uid="{873192B0-1F02-40D2-A821-71BC759E05D8}"/>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X29"/>
  <sheetViews>
    <sheetView workbookViewId="0">
      <selection activeCell="J31" sqref="J31:J123"/>
    </sheetView>
  </sheetViews>
  <sheetFormatPr defaultRowHeight="14.45"/>
  <cols>
    <col min="4" max="4" width="58.85546875" bestFit="1" customWidth="1"/>
    <col min="5" max="5" width="15.5703125" customWidth="1"/>
    <col min="6" max="6" width="28.85546875" bestFit="1" customWidth="1"/>
    <col min="7" max="7" width="28.85546875" customWidth="1"/>
    <col min="8" max="8" width="28.85546875" bestFit="1" customWidth="1"/>
    <col min="9" max="9" width="28.85546875" customWidth="1"/>
    <col min="10" max="10" width="13.140625" bestFit="1" customWidth="1"/>
    <col min="11" max="11" width="13.140625" customWidth="1"/>
    <col min="12" max="12" width="13.85546875" bestFit="1" customWidth="1"/>
    <col min="13" max="13" width="13.85546875" customWidth="1"/>
    <col min="14" max="14" width="21.5703125" bestFit="1" customWidth="1"/>
    <col min="15" max="15" width="21.5703125" customWidth="1"/>
    <col min="16" max="16" width="24.140625" bestFit="1" customWidth="1"/>
    <col min="17" max="17" width="24.140625" customWidth="1"/>
    <col min="18" max="18" width="18.28515625" bestFit="1" customWidth="1"/>
    <col min="19" max="19" width="18.28515625" customWidth="1"/>
    <col min="20" max="20" width="17.140625" bestFit="1" customWidth="1"/>
    <col min="21" max="21" width="17.140625" customWidth="1"/>
    <col min="22" max="22" width="27.85546875" bestFit="1" customWidth="1"/>
    <col min="23" max="23" width="27.85546875" customWidth="1"/>
    <col min="24" max="24" width="29.28515625" bestFit="1" customWidth="1"/>
  </cols>
  <sheetData>
    <row r="1" spans="3:24">
      <c r="D1" s="1" t="s">
        <v>390</v>
      </c>
      <c r="E1" s="1" t="s">
        <v>391</v>
      </c>
      <c r="F1" s="1" t="s">
        <v>392</v>
      </c>
      <c r="G1" s="1" t="s">
        <v>393</v>
      </c>
      <c r="H1" s="1" t="s">
        <v>394</v>
      </c>
      <c r="I1" s="1" t="s">
        <v>395</v>
      </c>
      <c r="J1" s="1" t="s">
        <v>396</v>
      </c>
      <c r="K1" s="1" t="s">
        <v>397</v>
      </c>
      <c r="L1" s="1" t="s">
        <v>398</v>
      </c>
      <c r="M1" s="1" t="s">
        <v>399</v>
      </c>
      <c r="N1" s="1" t="s">
        <v>400</v>
      </c>
      <c r="O1" s="1" t="s">
        <v>401</v>
      </c>
      <c r="P1" s="1" t="s">
        <v>402</v>
      </c>
      <c r="Q1" s="1" t="s">
        <v>403</v>
      </c>
      <c r="R1" s="1" t="s">
        <v>404</v>
      </c>
      <c r="S1" s="1" t="s">
        <v>405</v>
      </c>
      <c r="T1" s="1" t="s">
        <v>406</v>
      </c>
      <c r="U1" s="1" t="s">
        <v>407</v>
      </c>
      <c r="V1" s="1" t="s">
        <v>408</v>
      </c>
      <c r="W1" s="1" t="s">
        <v>409</v>
      </c>
      <c r="X1" s="1" t="s">
        <v>410</v>
      </c>
    </row>
    <row r="2" spans="3:24">
      <c r="D2" t="s">
        <v>65</v>
      </c>
      <c r="E2" s="2">
        <v>0.01</v>
      </c>
      <c r="F2" t="s">
        <v>411</v>
      </c>
      <c r="G2" s="2">
        <v>0.1</v>
      </c>
      <c r="H2" t="s">
        <v>411</v>
      </c>
      <c r="I2" s="2">
        <v>0.2</v>
      </c>
      <c r="J2" t="s">
        <v>65</v>
      </c>
      <c r="K2" s="2">
        <v>0.02</v>
      </c>
      <c r="L2" t="s">
        <v>65</v>
      </c>
      <c r="M2" s="2">
        <v>0.02</v>
      </c>
      <c r="N2" t="s">
        <v>412</v>
      </c>
      <c r="O2" s="2">
        <v>0</v>
      </c>
      <c r="P2" t="s">
        <v>413</v>
      </c>
      <c r="Q2" s="2">
        <v>0.05</v>
      </c>
      <c r="R2">
        <v>1</v>
      </c>
      <c r="T2" t="s">
        <v>414</v>
      </c>
      <c r="U2" s="2">
        <v>-0.02</v>
      </c>
      <c r="V2" t="s">
        <v>414</v>
      </c>
      <c r="W2" s="2">
        <v>-0.02</v>
      </c>
      <c r="X2">
        <v>25</v>
      </c>
    </row>
    <row r="3" spans="3:24">
      <c r="D3" t="s">
        <v>415</v>
      </c>
      <c r="E3" s="2">
        <v>0</v>
      </c>
      <c r="F3" t="s">
        <v>416</v>
      </c>
      <c r="G3" s="2">
        <v>0.05</v>
      </c>
      <c r="H3" t="s">
        <v>416</v>
      </c>
      <c r="I3" s="2">
        <v>0.1</v>
      </c>
      <c r="J3" t="s">
        <v>415</v>
      </c>
      <c r="K3" s="2">
        <v>0</v>
      </c>
      <c r="L3" t="s">
        <v>415</v>
      </c>
      <c r="M3" s="2">
        <v>0</v>
      </c>
      <c r="N3" t="s">
        <v>417</v>
      </c>
      <c r="O3" s="2">
        <v>0.03</v>
      </c>
      <c r="P3" t="s">
        <v>418</v>
      </c>
      <c r="Q3" s="2">
        <v>0</v>
      </c>
      <c r="R3">
        <v>2</v>
      </c>
      <c r="T3" t="s">
        <v>419</v>
      </c>
      <c r="U3" s="2">
        <v>0</v>
      </c>
      <c r="V3" t="s">
        <v>419</v>
      </c>
      <c r="W3" s="2">
        <v>0</v>
      </c>
      <c r="X3">
        <v>30</v>
      </c>
    </row>
    <row r="4" spans="3:24">
      <c r="F4" t="s">
        <v>415</v>
      </c>
      <c r="G4" s="2">
        <v>0</v>
      </c>
      <c r="H4" t="s">
        <v>415</v>
      </c>
      <c r="I4" s="2">
        <v>0</v>
      </c>
      <c r="N4" t="s">
        <v>420</v>
      </c>
      <c r="O4" s="2">
        <v>0</v>
      </c>
      <c r="P4" t="s">
        <v>421</v>
      </c>
      <c r="Q4" s="2">
        <v>0.1</v>
      </c>
      <c r="R4">
        <v>3</v>
      </c>
      <c r="T4" t="s">
        <v>422</v>
      </c>
      <c r="U4" s="2">
        <v>0.1</v>
      </c>
      <c r="V4" t="s">
        <v>422</v>
      </c>
      <c r="W4" s="2">
        <v>0.1</v>
      </c>
      <c r="X4">
        <v>40</v>
      </c>
    </row>
    <row r="5" spans="3:24">
      <c r="N5" t="s">
        <v>423</v>
      </c>
      <c r="O5" s="2">
        <v>0.05</v>
      </c>
      <c r="R5">
        <v>4</v>
      </c>
      <c r="X5">
        <v>50</v>
      </c>
    </row>
    <row r="14" spans="3:24">
      <c r="E14" t="s">
        <v>424</v>
      </c>
    </row>
    <row r="15" spans="3:24">
      <c r="C15" t="s">
        <v>425</v>
      </c>
      <c r="D15" t="s">
        <v>144</v>
      </c>
      <c r="E15" t="s">
        <v>21</v>
      </c>
    </row>
    <row r="16" spans="3:24">
      <c r="C16" t="s">
        <v>22</v>
      </c>
      <c r="D16" t="s">
        <v>22</v>
      </c>
    </row>
    <row r="17" spans="3:6">
      <c r="C17" t="s">
        <v>24</v>
      </c>
      <c r="D17" t="s">
        <v>24</v>
      </c>
      <c r="E17" t="s">
        <v>73</v>
      </c>
    </row>
    <row r="18" spans="3:6">
      <c r="C18" t="s">
        <v>426</v>
      </c>
      <c r="D18" t="s">
        <v>26</v>
      </c>
      <c r="E18" t="s">
        <v>21</v>
      </c>
    </row>
    <row r="19" spans="3:6">
      <c r="C19" t="s">
        <v>427</v>
      </c>
      <c r="D19" t="s">
        <v>28</v>
      </c>
      <c r="E19" t="s">
        <v>21</v>
      </c>
    </row>
    <row r="20" spans="3:6">
      <c r="C20" t="s">
        <v>425</v>
      </c>
      <c r="D20" t="s">
        <v>30</v>
      </c>
      <c r="E20" t="s">
        <v>73</v>
      </c>
      <c r="F20" t="s">
        <v>428</v>
      </c>
    </row>
    <row r="21" spans="3:6">
      <c r="C21" t="s">
        <v>425</v>
      </c>
      <c r="D21" t="s">
        <v>31</v>
      </c>
      <c r="E21" t="s">
        <v>73</v>
      </c>
      <c r="F21" t="s">
        <v>429</v>
      </c>
    </row>
    <row r="22" spans="3:6">
      <c r="C22" t="s">
        <v>425</v>
      </c>
      <c r="D22" t="s">
        <v>32</v>
      </c>
      <c r="E22" t="s">
        <v>73</v>
      </c>
    </row>
    <row r="23" spans="3:6">
      <c r="C23" t="s">
        <v>425</v>
      </c>
      <c r="D23" t="s">
        <v>33</v>
      </c>
      <c r="E23" t="s">
        <v>73</v>
      </c>
    </row>
    <row r="24" spans="3:6">
      <c r="C24" t="s">
        <v>425</v>
      </c>
      <c r="D24" t="s">
        <v>34</v>
      </c>
      <c r="E24" t="s">
        <v>73</v>
      </c>
    </row>
    <row r="25" spans="3:6">
      <c r="C25" t="s">
        <v>425</v>
      </c>
      <c r="D25" t="s">
        <v>35</v>
      </c>
      <c r="E25" t="s">
        <v>73</v>
      </c>
    </row>
    <row r="26" spans="3:6">
      <c r="C26" t="s">
        <v>425</v>
      </c>
      <c r="D26" t="s">
        <v>36</v>
      </c>
      <c r="E26" t="s">
        <v>73</v>
      </c>
    </row>
    <row r="27" spans="3:6">
      <c r="C27" t="s">
        <v>425</v>
      </c>
      <c r="D27" t="s">
        <v>37</v>
      </c>
      <c r="E27" t="s">
        <v>73</v>
      </c>
    </row>
    <row r="28" spans="3:6">
      <c r="C28" t="s">
        <v>425</v>
      </c>
      <c r="D28" t="s">
        <v>38</v>
      </c>
    </row>
    <row r="29" spans="3:6">
      <c r="C29" t="s">
        <v>425</v>
      </c>
      <c r="D29" t="s">
        <v>39</v>
      </c>
      <c r="E29"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
  <sheetViews>
    <sheetView workbookViewId="0">
      <selection activeCell="J31" sqref="J31:J123"/>
    </sheetView>
  </sheetViews>
  <sheetFormatPr defaultRowHeight="14.45"/>
  <cols>
    <col min="2" max="2" width="25.42578125" bestFit="1" customWidth="1"/>
    <col min="3" max="3" width="26.140625" bestFit="1" customWidth="1"/>
    <col min="4" max="4" width="15.5703125" bestFit="1" customWidth="1"/>
    <col min="5" max="6" width="10" bestFit="1" customWidth="1"/>
  </cols>
  <sheetData>
    <row r="1" spans="1:6">
      <c r="C1" s="1" t="s">
        <v>430</v>
      </c>
    </row>
    <row r="2" spans="1:6">
      <c r="C2" t="s">
        <v>431</v>
      </c>
      <c r="E2" t="s">
        <v>432</v>
      </c>
    </row>
    <row r="3" spans="1:6">
      <c r="B3" t="s">
        <v>3</v>
      </c>
      <c r="C3">
        <v>1312</v>
      </c>
      <c r="D3">
        <v>1312</v>
      </c>
      <c r="E3">
        <v>2423</v>
      </c>
      <c r="F3">
        <v>2423</v>
      </c>
    </row>
    <row r="4" spans="1:6">
      <c r="B4" t="s">
        <v>433</v>
      </c>
      <c r="C4" t="s">
        <v>434</v>
      </c>
      <c r="D4" t="s">
        <v>435</v>
      </c>
      <c r="E4" t="s">
        <v>434</v>
      </c>
      <c r="F4" t="s">
        <v>435</v>
      </c>
    </row>
    <row r="5" spans="1:6">
      <c r="A5">
        <v>1</v>
      </c>
      <c r="B5" t="s">
        <v>436</v>
      </c>
      <c r="C5" s="3">
        <v>1211</v>
      </c>
      <c r="D5" s="3">
        <v>1267</v>
      </c>
      <c r="E5" s="3">
        <v>1071</v>
      </c>
      <c r="F5" s="3">
        <v>1122</v>
      </c>
    </row>
    <row r="6" spans="1:6">
      <c r="A6">
        <v>2</v>
      </c>
      <c r="B6" t="s">
        <v>437</v>
      </c>
      <c r="C6" s="3">
        <v>573</v>
      </c>
      <c r="D6" s="3">
        <v>645</v>
      </c>
      <c r="E6" s="3">
        <v>527</v>
      </c>
      <c r="F6" s="3">
        <v>600</v>
      </c>
    </row>
    <row r="7" spans="1:6">
      <c r="A7">
        <v>3</v>
      </c>
      <c r="B7" t="s">
        <v>438</v>
      </c>
      <c r="C7" s="3">
        <v>45</v>
      </c>
      <c r="D7" s="3">
        <v>45</v>
      </c>
      <c r="E7" s="3">
        <v>36</v>
      </c>
      <c r="F7" s="3">
        <v>36</v>
      </c>
    </row>
    <row r="8" spans="1:6">
      <c r="A8">
        <v>4</v>
      </c>
      <c r="B8" t="s">
        <v>439</v>
      </c>
      <c r="C8" s="3">
        <v>88</v>
      </c>
      <c r="D8" s="3">
        <v>88</v>
      </c>
      <c r="E8" s="3">
        <v>95</v>
      </c>
      <c r="F8" s="3">
        <v>95</v>
      </c>
    </row>
    <row r="9" spans="1:6">
      <c r="A9">
        <v>5</v>
      </c>
      <c r="B9" t="s">
        <v>440</v>
      </c>
      <c r="C9" s="3">
        <v>385</v>
      </c>
      <c r="D9" s="3">
        <v>411</v>
      </c>
      <c r="E9" s="3">
        <v>348</v>
      </c>
      <c r="F9" s="3">
        <v>373</v>
      </c>
    </row>
    <row r="10" spans="1:6">
      <c r="A10">
        <v>6</v>
      </c>
      <c r="B10" s="4" t="s">
        <v>441</v>
      </c>
      <c r="C10" s="6">
        <v>2302</v>
      </c>
      <c r="D10" s="6">
        <v>2456</v>
      </c>
      <c r="E10" s="6">
        <v>2077</v>
      </c>
      <c r="F10" s="6">
        <v>2226</v>
      </c>
    </row>
    <row r="11" spans="1:6">
      <c r="A11">
        <v>7</v>
      </c>
      <c r="B11" t="s">
        <v>442</v>
      </c>
      <c r="C11" s="3">
        <v>413</v>
      </c>
      <c r="D11" s="3">
        <v>441</v>
      </c>
      <c r="E11" s="3">
        <v>373</v>
      </c>
      <c r="F11" s="3">
        <v>400</v>
      </c>
    </row>
    <row r="12" spans="1:6" ht="15" customHeight="1" thickBot="1">
      <c r="A12">
        <v>8</v>
      </c>
      <c r="B12" s="7" t="s">
        <v>443</v>
      </c>
      <c r="C12" s="8">
        <v>567</v>
      </c>
      <c r="D12" s="8">
        <v>605</v>
      </c>
      <c r="E12" s="8">
        <v>512</v>
      </c>
      <c r="F12" s="8">
        <v>549</v>
      </c>
    </row>
    <row r="13" spans="1:6">
      <c r="A13">
        <v>9</v>
      </c>
      <c r="B13" s="1" t="s">
        <v>444</v>
      </c>
      <c r="C13" s="5">
        <v>3283</v>
      </c>
      <c r="D13" s="5">
        <v>3502</v>
      </c>
      <c r="E13" s="5">
        <v>2962</v>
      </c>
      <c r="F13" s="5">
        <v>3175</v>
      </c>
    </row>
    <row r="14" spans="1:6">
      <c r="C14" s="3"/>
      <c r="D14" s="3"/>
      <c r="E14" s="3"/>
      <c r="F14" s="3"/>
    </row>
    <row r="15" spans="1:6">
      <c r="C15" s="3"/>
      <c r="D15" s="3"/>
      <c r="E15" s="3"/>
      <c r="F15" s="3"/>
    </row>
    <row r="16" spans="1:6">
      <c r="B16" s="4" t="s">
        <v>445</v>
      </c>
      <c r="C16" s="3"/>
      <c r="D16" s="3"/>
      <c r="E16" s="3"/>
      <c r="F16" s="3"/>
    </row>
    <row r="17" spans="2:6">
      <c r="B17" t="s">
        <v>446</v>
      </c>
      <c r="C17" s="3">
        <v>143</v>
      </c>
      <c r="D17" s="3">
        <v>0</v>
      </c>
      <c r="E17" s="3">
        <v>138</v>
      </c>
      <c r="F17" s="3">
        <v>0</v>
      </c>
    </row>
    <row r="18" spans="2:6">
      <c r="B18" t="s">
        <v>447</v>
      </c>
      <c r="C18" s="3">
        <v>212</v>
      </c>
      <c r="D18" s="3">
        <v>212</v>
      </c>
      <c r="E18" s="3">
        <v>212</v>
      </c>
      <c r="F18" s="3">
        <v>212</v>
      </c>
    </row>
    <row r="19" spans="2:6">
      <c r="B19" t="s">
        <v>448</v>
      </c>
      <c r="C19" s="3">
        <v>233</v>
      </c>
      <c r="D19" s="3">
        <v>233</v>
      </c>
      <c r="E19" s="3">
        <v>203</v>
      </c>
      <c r="F19" s="3">
        <v>203</v>
      </c>
    </row>
    <row r="20" spans="2:6">
      <c r="B20" t="s">
        <v>449</v>
      </c>
      <c r="C20" s="3">
        <v>24</v>
      </c>
      <c r="D20" s="3">
        <v>17</v>
      </c>
      <c r="E20" s="3">
        <v>20</v>
      </c>
      <c r="F20" s="3">
        <v>14</v>
      </c>
    </row>
    <row r="21" spans="2:6">
      <c r="B21" t="s">
        <v>450</v>
      </c>
      <c r="C21" s="3">
        <v>5</v>
      </c>
      <c r="D21" s="3">
        <v>5</v>
      </c>
      <c r="E21" s="3">
        <v>5</v>
      </c>
      <c r="F21" s="3">
        <v>5</v>
      </c>
    </row>
    <row r="22" spans="2:6">
      <c r="B22" t="s">
        <v>451</v>
      </c>
      <c r="C22" s="3">
        <v>96</v>
      </c>
      <c r="D22" s="3">
        <v>96</v>
      </c>
      <c r="E22" s="3">
        <v>100</v>
      </c>
      <c r="F22" s="3">
        <v>100</v>
      </c>
    </row>
    <row r="23" spans="2:6" ht="15" customHeight="1" thickBot="1">
      <c r="B23" s="7" t="s">
        <v>452</v>
      </c>
      <c r="C23" s="8">
        <v>113</v>
      </c>
      <c r="D23" s="8">
        <v>113</v>
      </c>
      <c r="E23" s="8">
        <v>83</v>
      </c>
      <c r="F23" s="8">
        <v>83</v>
      </c>
    </row>
    <row r="24" spans="2:6">
      <c r="B24" s="1" t="s">
        <v>453</v>
      </c>
      <c r="C24" s="5">
        <v>826</v>
      </c>
      <c r="D24" s="5">
        <v>676</v>
      </c>
      <c r="E24" s="5">
        <v>762</v>
      </c>
      <c r="F24" s="5">
        <v>617</v>
      </c>
    </row>
    <row r="25" spans="2:6">
      <c r="C25" s="3"/>
      <c r="D25" s="3"/>
      <c r="E25" s="3"/>
      <c r="F25" s="3"/>
    </row>
    <row r="26" spans="2:6">
      <c r="C26" s="3"/>
      <c r="D26" s="3"/>
      <c r="E26" s="3"/>
      <c r="F26" s="3"/>
    </row>
    <row r="27" spans="2:6">
      <c r="B27" t="s">
        <v>454</v>
      </c>
      <c r="C27" s="3"/>
      <c r="D27" s="3"/>
      <c r="E27" s="3"/>
      <c r="F27" s="3"/>
    </row>
    <row r="28" spans="2:6">
      <c r="B28" t="s">
        <v>455</v>
      </c>
      <c r="C28" s="3">
        <v>13</v>
      </c>
      <c r="D28" s="3">
        <v>14</v>
      </c>
      <c r="E28" s="3">
        <v>11</v>
      </c>
      <c r="F28" s="3">
        <v>12</v>
      </c>
    </row>
    <row r="29" spans="2:6">
      <c r="B29" t="s">
        <v>456</v>
      </c>
      <c r="C29" s="3">
        <v>6</v>
      </c>
      <c r="D29" s="3">
        <v>6</v>
      </c>
      <c r="E29" s="3">
        <v>5</v>
      </c>
      <c r="F29" s="3">
        <v>5</v>
      </c>
    </row>
    <row r="30" spans="2:6">
      <c r="B30" t="s">
        <v>457</v>
      </c>
      <c r="C30" s="3">
        <v>54</v>
      </c>
      <c r="D30" s="3">
        <v>54</v>
      </c>
      <c r="E30" s="3">
        <v>47</v>
      </c>
      <c r="F30" s="3">
        <v>48</v>
      </c>
    </row>
    <row r="31" spans="2:6">
      <c r="B31" t="s">
        <v>458</v>
      </c>
      <c r="C31" s="3">
        <v>13</v>
      </c>
      <c r="D31" s="3">
        <v>4</v>
      </c>
      <c r="E31" s="3">
        <v>13</v>
      </c>
      <c r="F31" s="3">
        <v>4</v>
      </c>
    </row>
    <row r="32" spans="2:6">
      <c r="B32" t="s">
        <v>459</v>
      </c>
      <c r="C32" s="3">
        <v>0</v>
      </c>
      <c r="D32" s="3">
        <v>0</v>
      </c>
      <c r="E32" s="3">
        <v>0</v>
      </c>
      <c r="F32" s="3">
        <v>0</v>
      </c>
    </row>
    <row r="33" spans="2:6">
      <c r="B33" t="s">
        <v>460</v>
      </c>
      <c r="C33" s="3">
        <v>0</v>
      </c>
      <c r="D33" s="3">
        <v>0</v>
      </c>
      <c r="E33" s="3">
        <v>0</v>
      </c>
      <c r="F33" s="3">
        <v>0</v>
      </c>
    </row>
    <row r="34" spans="2:6" ht="15" customHeight="1" thickBot="1">
      <c r="B34" s="7" t="s">
        <v>461</v>
      </c>
      <c r="C34" s="8">
        <v>15</v>
      </c>
      <c r="D34" s="8">
        <v>14</v>
      </c>
      <c r="E34" s="8">
        <v>14</v>
      </c>
      <c r="F34" s="8">
        <v>14</v>
      </c>
    </row>
    <row r="35" spans="2:6">
      <c r="B35" s="1" t="s">
        <v>462</v>
      </c>
      <c r="C35" s="5">
        <v>100</v>
      </c>
      <c r="D35" s="5">
        <v>93</v>
      </c>
      <c r="E35" s="5">
        <v>91</v>
      </c>
      <c r="F35" s="5">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15B7-1698-46BF-B5D1-CD2DF821F31B}">
  <dimension ref="A1:J26"/>
  <sheetViews>
    <sheetView workbookViewId="0">
      <selection activeCell="J31" sqref="J31:J123"/>
    </sheetView>
  </sheetViews>
  <sheetFormatPr defaultRowHeight="14.45"/>
  <cols>
    <col min="1" max="1" width="31.140625" bestFit="1" customWidth="1"/>
    <col min="2" max="2" width="12.85546875" bestFit="1" customWidth="1"/>
    <col min="4" max="4" width="9.42578125" customWidth="1"/>
    <col min="7" max="7" width="6.42578125" customWidth="1"/>
    <col min="8" max="8" width="11.5703125" customWidth="1"/>
    <col min="9" max="9" width="13.42578125" customWidth="1"/>
  </cols>
  <sheetData>
    <row r="1" spans="1:10" ht="15" thickBot="1">
      <c r="A1" s="1" t="s">
        <v>463</v>
      </c>
      <c r="D1" t="s">
        <v>464</v>
      </c>
    </row>
    <row r="2" spans="1:10" ht="15" thickBot="1">
      <c r="A2" t="s">
        <v>3</v>
      </c>
      <c r="B2" s="16">
        <f>INPUT!E3</f>
        <v>0</v>
      </c>
      <c r="D2" t="s">
        <v>465</v>
      </c>
    </row>
    <row r="3" spans="1:10" ht="15" thickBot="1"/>
    <row r="4" spans="1:10" ht="15" thickBot="1">
      <c r="A4" s="17" t="s">
        <v>466</v>
      </c>
      <c r="B4" s="18"/>
      <c r="C4" s="19" t="s">
        <v>467</v>
      </c>
      <c r="D4" s="19" t="s">
        <v>468</v>
      </c>
      <c r="E4" s="19" t="s">
        <v>469</v>
      </c>
      <c r="F4" s="20" t="s">
        <v>470</v>
      </c>
      <c r="G4" s="1"/>
      <c r="H4" s="21" t="s">
        <v>471</v>
      </c>
      <c r="I4" s="22"/>
      <c r="J4" s="23"/>
    </row>
    <row r="5" spans="1:10">
      <c r="A5" s="24" t="s">
        <v>472</v>
      </c>
      <c r="B5" t="s">
        <v>473</v>
      </c>
      <c r="C5" s="25">
        <v>2.9</v>
      </c>
      <c r="D5" s="25">
        <v>3.7</v>
      </c>
      <c r="E5" s="25">
        <v>4.4000000000000004</v>
      </c>
      <c r="F5" s="26">
        <f t="shared" ref="F5:F14" si="0">(C5+(4*D5)+E5)/6</f>
        <v>3.6833333333333336</v>
      </c>
      <c r="G5" s="25"/>
      <c r="H5" s="27">
        <f t="shared" ref="H5:H14" si="1">F5</f>
        <v>3.6833333333333336</v>
      </c>
      <c r="I5" s="60" t="s">
        <v>473</v>
      </c>
    </row>
    <row r="6" spans="1:10">
      <c r="A6" s="24" t="s">
        <v>474</v>
      </c>
      <c r="B6" t="s">
        <v>475</v>
      </c>
      <c r="C6" s="25">
        <v>1.7</v>
      </c>
      <c r="D6" s="25">
        <v>2.9</v>
      </c>
      <c r="E6" s="25">
        <v>8</v>
      </c>
      <c r="F6" s="26">
        <f t="shared" si="0"/>
        <v>3.5499999999999994</v>
      </c>
      <c r="G6" s="25"/>
      <c r="H6" s="27">
        <f t="shared" si="1"/>
        <v>3.5499999999999994</v>
      </c>
      <c r="I6" s="61" t="s">
        <v>475</v>
      </c>
    </row>
    <row r="7" spans="1:10">
      <c r="A7" s="24" t="s">
        <v>71</v>
      </c>
      <c r="B7" t="s">
        <v>476</v>
      </c>
      <c r="C7" s="25">
        <v>0.4</v>
      </c>
      <c r="D7" s="25">
        <v>0.63</v>
      </c>
      <c r="E7" s="25">
        <v>0.95</v>
      </c>
      <c r="F7" s="26">
        <f t="shared" si="0"/>
        <v>0.64500000000000002</v>
      </c>
      <c r="G7" s="25"/>
      <c r="H7" s="27">
        <f t="shared" si="1"/>
        <v>0.64500000000000002</v>
      </c>
      <c r="I7" s="61" t="s">
        <v>476</v>
      </c>
    </row>
    <row r="8" spans="1:10">
      <c r="A8" s="24" t="s">
        <v>477</v>
      </c>
      <c r="B8" t="s">
        <v>478</v>
      </c>
      <c r="C8" s="25">
        <v>0.32</v>
      </c>
      <c r="D8" s="25">
        <v>0.52</v>
      </c>
      <c r="E8" s="25">
        <v>0.82</v>
      </c>
      <c r="F8" s="26">
        <f t="shared" si="0"/>
        <v>0.53666666666666663</v>
      </c>
      <c r="G8" s="25"/>
      <c r="H8" s="27">
        <f t="shared" si="1"/>
        <v>0.53666666666666663</v>
      </c>
      <c r="I8" s="61" t="s">
        <v>478</v>
      </c>
    </row>
    <row r="9" spans="1:10">
      <c r="A9" s="24" t="s">
        <v>12</v>
      </c>
      <c r="B9" t="s">
        <v>479</v>
      </c>
      <c r="C9" s="25">
        <v>0.25</v>
      </c>
      <c r="D9" s="25">
        <v>0.41</v>
      </c>
      <c r="E9" s="25">
        <v>0.76</v>
      </c>
      <c r="F9" s="26">
        <f t="shared" si="0"/>
        <v>0.44166666666666665</v>
      </c>
      <c r="G9" s="25"/>
      <c r="H9" s="27">
        <f t="shared" si="1"/>
        <v>0.44166666666666665</v>
      </c>
      <c r="I9" s="61" t="s">
        <v>479</v>
      </c>
    </row>
    <row r="10" spans="1:10">
      <c r="A10" s="24" t="s">
        <v>480</v>
      </c>
      <c r="B10" t="s">
        <v>481</v>
      </c>
      <c r="C10" s="25">
        <v>1</v>
      </c>
      <c r="D10" s="25">
        <v>1.01</v>
      </c>
      <c r="E10" s="25">
        <v>1.1299999999999999</v>
      </c>
      <c r="F10" s="26">
        <f t="shared" si="0"/>
        <v>1.0283333333333333</v>
      </c>
      <c r="G10" s="25"/>
      <c r="H10" s="27">
        <f t="shared" si="1"/>
        <v>1.0283333333333333</v>
      </c>
      <c r="I10" s="61" t="s">
        <v>481</v>
      </c>
    </row>
    <row r="11" spans="1:10">
      <c r="A11" s="24" t="s">
        <v>14</v>
      </c>
      <c r="B11" t="s">
        <v>482</v>
      </c>
      <c r="C11" s="25">
        <v>0</v>
      </c>
      <c r="D11" s="25">
        <v>0.05</v>
      </c>
      <c r="E11" s="25">
        <v>0.2</v>
      </c>
      <c r="F11" s="26">
        <f t="shared" si="0"/>
        <v>6.6666666666666666E-2</v>
      </c>
      <c r="G11" s="25"/>
      <c r="H11" s="27">
        <f t="shared" si="1"/>
        <v>6.6666666666666666E-2</v>
      </c>
      <c r="I11" s="61" t="s">
        <v>482</v>
      </c>
    </row>
    <row r="12" spans="1:10">
      <c r="A12" s="24" t="s">
        <v>483</v>
      </c>
      <c r="B12" t="s">
        <v>484</v>
      </c>
      <c r="C12" s="25">
        <v>0.3</v>
      </c>
      <c r="D12" s="25">
        <v>0.66</v>
      </c>
      <c r="E12" s="25">
        <v>1</v>
      </c>
      <c r="F12" s="26">
        <f t="shared" si="0"/>
        <v>0.65666666666666662</v>
      </c>
      <c r="G12" s="25"/>
      <c r="H12" s="27">
        <f t="shared" si="1"/>
        <v>0.65666666666666662</v>
      </c>
      <c r="I12" s="61" t="s">
        <v>484</v>
      </c>
    </row>
    <row r="13" spans="1:10">
      <c r="A13" s="24" t="s">
        <v>16</v>
      </c>
      <c r="B13" t="s">
        <v>485</v>
      </c>
      <c r="C13" s="25">
        <v>0.06</v>
      </c>
      <c r="D13" s="25">
        <v>0.22</v>
      </c>
      <c r="E13" s="25">
        <v>0.85</v>
      </c>
      <c r="F13" s="26">
        <f t="shared" si="0"/>
        <v>0.29833333333333334</v>
      </c>
      <c r="G13" s="25"/>
      <c r="H13" s="27">
        <f t="shared" si="1"/>
        <v>0.29833333333333334</v>
      </c>
      <c r="I13" s="61" t="s">
        <v>485</v>
      </c>
    </row>
    <row r="14" spans="1:10" ht="15" thickBot="1">
      <c r="A14" s="28" t="s">
        <v>486</v>
      </c>
      <c r="B14" s="7" t="s">
        <v>487</v>
      </c>
      <c r="C14" s="29">
        <v>0.39</v>
      </c>
      <c r="D14" s="29">
        <v>0.54</v>
      </c>
      <c r="E14" s="29">
        <v>1.29</v>
      </c>
      <c r="F14" s="30">
        <f t="shared" si="0"/>
        <v>0.64</v>
      </c>
      <c r="G14" s="25"/>
      <c r="H14" s="31">
        <f t="shared" si="1"/>
        <v>0.64</v>
      </c>
      <c r="I14" s="62" t="s">
        <v>487</v>
      </c>
    </row>
    <row r="15" spans="1:10" ht="15" thickBot="1">
      <c r="C15" s="25"/>
      <c r="D15" s="25"/>
      <c r="E15" s="25"/>
      <c r="F15" s="25"/>
      <c r="G15" s="25"/>
      <c r="H15" s="25"/>
    </row>
    <row r="16" spans="1:10" ht="15" thickBot="1">
      <c r="C16" s="32"/>
      <c r="D16" s="33"/>
      <c r="E16" s="153" t="s">
        <v>488</v>
      </c>
      <c r="F16" s="154"/>
    </row>
    <row r="17" spans="1:10" ht="15" thickBot="1">
      <c r="A17" s="34" t="s">
        <v>489</v>
      </c>
      <c r="B17" s="33"/>
      <c r="C17" s="35" t="s">
        <v>490</v>
      </c>
      <c r="D17" s="36"/>
      <c r="E17" s="155" t="s">
        <v>491</v>
      </c>
      <c r="F17" s="156"/>
      <c r="H17" s="34" t="s">
        <v>471</v>
      </c>
      <c r="I17" s="37"/>
      <c r="J17" s="38"/>
    </row>
    <row r="18" spans="1:10">
      <c r="A18" s="24" t="s">
        <v>7</v>
      </c>
      <c r="B18" s="39" t="s">
        <v>492</v>
      </c>
      <c r="C18" s="157">
        <f>B2*H5</f>
        <v>0</v>
      </c>
      <c r="D18" s="158"/>
      <c r="E18" s="159">
        <f>INPUT!E7</f>
        <v>0</v>
      </c>
      <c r="F18" s="160"/>
      <c r="G18" s="40"/>
      <c r="H18" s="130">
        <f>IF(E18&gt;0,E18,C18)</f>
        <v>0</v>
      </c>
      <c r="I18" s="39" t="s">
        <v>492</v>
      </c>
    </row>
    <row r="19" spans="1:10">
      <c r="A19" s="24" t="s">
        <v>9</v>
      </c>
      <c r="B19" s="39" t="s">
        <v>493</v>
      </c>
      <c r="C19" s="149">
        <f>B2/H6</f>
        <v>0</v>
      </c>
      <c r="D19" s="150"/>
      <c r="E19" s="151">
        <f>INPUT!E8</f>
        <v>0</v>
      </c>
      <c r="F19" s="152"/>
      <c r="G19" s="40"/>
      <c r="H19" s="41">
        <f>IF(E19&gt;0,E19,C19)</f>
        <v>0</v>
      </c>
      <c r="I19" s="39" t="s">
        <v>493</v>
      </c>
    </row>
    <row r="20" spans="1:10">
      <c r="A20" s="24" t="s">
        <v>11</v>
      </c>
      <c r="B20" s="39" t="s">
        <v>494</v>
      </c>
      <c r="C20" s="149">
        <f>B2*H8</f>
        <v>0</v>
      </c>
      <c r="D20" s="150"/>
      <c r="E20" s="151">
        <f>INPUT!E9</f>
        <v>0</v>
      </c>
      <c r="F20" s="152"/>
      <c r="G20" s="40"/>
      <c r="H20" s="41">
        <f>IF(E20&gt;0,E20,C20)</f>
        <v>0</v>
      </c>
      <c r="I20" s="39" t="s">
        <v>494</v>
      </c>
    </row>
    <row r="21" spans="1:10">
      <c r="A21" s="24" t="s">
        <v>12</v>
      </c>
      <c r="B21" s="39" t="s">
        <v>495</v>
      </c>
      <c r="C21" s="149">
        <f>C20*H9</f>
        <v>0</v>
      </c>
      <c r="D21" s="150"/>
      <c r="E21" s="151">
        <f>INPUT!E10</f>
        <v>0</v>
      </c>
      <c r="F21" s="152"/>
      <c r="G21" s="40"/>
      <c r="H21" s="41">
        <f>IF(E21&gt;0,E21,C21)</f>
        <v>0</v>
      </c>
      <c r="I21" s="39" t="s">
        <v>495</v>
      </c>
    </row>
    <row r="22" spans="1:10">
      <c r="A22" s="24" t="s">
        <v>13</v>
      </c>
      <c r="B22" s="39" t="s">
        <v>496</v>
      </c>
      <c r="C22" s="149">
        <f>C19*H10</f>
        <v>0</v>
      </c>
      <c r="D22" s="150"/>
      <c r="E22" s="151">
        <f>INPUT!E11</f>
        <v>0</v>
      </c>
      <c r="F22" s="152"/>
      <c r="G22" s="40"/>
      <c r="H22" s="41">
        <f>IF(E22&gt;0,E22,C22)</f>
        <v>0</v>
      </c>
      <c r="I22" s="39" t="s">
        <v>496</v>
      </c>
    </row>
    <row r="23" spans="1:10">
      <c r="A23" s="24" t="s">
        <v>14</v>
      </c>
      <c r="B23" s="39" t="s">
        <v>497</v>
      </c>
      <c r="C23" s="149">
        <f>C22*H11</f>
        <v>0</v>
      </c>
      <c r="D23" s="150"/>
      <c r="E23" s="151">
        <f>INPUT!E12</f>
        <v>0</v>
      </c>
      <c r="F23" s="152"/>
      <c r="G23" s="40"/>
      <c r="H23" s="41">
        <f>IF(E23&gt;0,E23,C23)</f>
        <v>0</v>
      </c>
      <c r="I23" s="39" t="s">
        <v>497</v>
      </c>
    </row>
    <row r="24" spans="1:10">
      <c r="A24" s="24" t="s">
        <v>15</v>
      </c>
      <c r="B24" s="39" t="s">
        <v>498</v>
      </c>
      <c r="C24" s="149">
        <f>B2*H12</f>
        <v>0</v>
      </c>
      <c r="D24" s="150"/>
      <c r="E24" s="151">
        <f>INPUT!E13</f>
        <v>0</v>
      </c>
      <c r="F24" s="152"/>
      <c r="G24" s="40"/>
      <c r="H24" s="41">
        <f>IF(E24&gt;0,E24,C24)</f>
        <v>0</v>
      </c>
      <c r="I24" s="39" t="s">
        <v>498</v>
      </c>
    </row>
    <row r="25" spans="1:10">
      <c r="A25" s="24" t="s">
        <v>16</v>
      </c>
      <c r="B25" s="39" t="s">
        <v>499</v>
      </c>
      <c r="C25" s="149">
        <f>C24*H13</f>
        <v>0</v>
      </c>
      <c r="D25" s="150"/>
      <c r="E25" s="151">
        <f>INPUT!E14</f>
        <v>0</v>
      </c>
      <c r="F25" s="152"/>
      <c r="G25" s="40"/>
      <c r="H25" s="41">
        <f>IF(E25&gt;0,E25,C25)</f>
        <v>0</v>
      </c>
      <c r="I25" s="39" t="s">
        <v>499</v>
      </c>
    </row>
    <row r="26" spans="1:10" ht="15" thickBot="1">
      <c r="A26" s="28" t="s">
        <v>17</v>
      </c>
      <c r="B26" s="36" t="s">
        <v>500</v>
      </c>
      <c r="C26" s="145">
        <f>B2*H14</f>
        <v>0</v>
      </c>
      <c r="D26" s="146"/>
      <c r="E26" s="147">
        <f>INPUT!E15</f>
        <v>0</v>
      </c>
      <c r="F26" s="148"/>
      <c r="G26" s="40"/>
      <c r="H26" s="42">
        <f>IF(E26&gt;0,E26,C26)</f>
        <v>0</v>
      </c>
      <c r="I26" s="36" t="s">
        <v>500</v>
      </c>
    </row>
  </sheetData>
  <mergeCells count="20">
    <mergeCell ref="E16:F16"/>
    <mergeCell ref="E17:F17"/>
    <mergeCell ref="C18:D18"/>
    <mergeCell ref="E18:F18"/>
    <mergeCell ref="C19:D19"/>
    <mergeCell ref="E19:F19"/>
    <mergeCell ref="C20:D20"/>
    <mergeCell ref="E20:F20"/>
    <mergeCell ref="C21:D21"/>
    <mergeCell ref="E21:F21"/>
    <mergeCell ref="C22:D22"/>
    <mergeCell ref="E22:F22"/>
    <mergeCell ref="C26:D26"/>
    <mergeCell ref="E26:F26"/>
    <mergeCell ref="C23:D23"/>
    <mergeCell ref="E23:F23"/>
    <mergeCell ref="C24:D24"/>
    <mergeCell ref="E24:F24"/>
    <mergeCell ref="C25:D25"/>
    <mergeCell ref="E25:F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2991-70EE-4C71-9C70-329A3AE2C8CC}">
  <dimension ref="A1:E6"/>
  <sheetViews>
    <sheetView workbookViewId="0">
      <selection activeCell="J31" sqref="J31:J123"/>
    </sheetView>
  </sheetViews>
  <sheetFormatPr defaultRowHeight="14.45"/>
  <cols>
    <col min="3" max="3" width="32.85546875" customWidth="1"/>
  </cols>
  <sheetData>
    <row r="1" spans="1:5">
      <c r="A1" t="s">
        <v>21</v>
      </c>
      <c r="B1" t="s">
        <v>23</v>
      </c>
      <c r="C1" t="s">
        <v>25</v>
      </c>
      <c r="D1" s="75" t="s">
        <v>27</v>
      </c>
      <c r="E1" s="75" t="s">
        <v>29</v>
      </c>
    </row>
    <row r="2" spans="1:5">
      <c r="A2" t="s">
        <v>73</v>
      </c>
      <c r="B2" t="s">
        <v>501</v>
      </c>
      <c r="C2" t="s">
        <v>502</v>
      </c>
      <c r="D2" s="75" t="s">
        <v>503</v>
      </c>
      <c r="E2" s="75" t="s">
        <v>504</v>
      </c>
    </row>
    <row r="3" spans="1:5">
      <c r="B3" t="s">
        <v>505</v>
      </c>
      <c r="C3" t="s">
        <v>506</v>
      </c>
      <c r="D3" s="75" t="s">
        <v>507</v>
      </c>
      <c r="E3" s="75" t="s">
        <v>508</v>
      </c>
    </row>
    <row r="4" spans="1:5">
      <c r="B4" t="s">
        <v>509</v>
      </c>
      <c r="C4" t="s">
        <v>510</v>
      </c>
    </row>
    <row r="5" spans="1:5">
      <c r="C5" t="s">
        <v>511</v>
      </c>
    </row>
    <row r="6" spans="1:5">
      <c r="C6" t="s">
        <v>512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A275-C12F-4B2D-82B5-52D5F9C9A58E}">
  <dimension ref="A1:AQ80"/>
  <sheetViews>
    <sheetView topLeftCell="A30" zoomScale="70" zoomScaleNormal="70" workbookViewId="0">
      <pane xSplit="2" topLeftCell="K1" activePane="topRight" state="frozen"/>
      <selection pane="topRight" activeCell="J31" sqref="J31:J123"/>
      <selection activeCell="J31" sqref="J31:J123"/>
    </sheetView>
  </sheetViews>
  <sheetFormatPr defaultRowHeight="14.45"/>
  <cols>
    <col min="2" max="2" width="78" customWidth="1"/>
    <col min="3" max="3" width="30.5703125" customWidth="1"/>
    <col min="4" max="4" width="11" customWidth="1"/>
    <col min="5" max="5" width="41.7109375" customWidth="1"/>
    <col min="6" max="11" width="9.7109375" customWidth="1"/>
    <col min="12" max="12" width="17.7109375" customWidth="1"/>
    <col min="13" max="15" width="11.85546875" bestFit="1" customWidth="1"/>
  </cols>
  <sheetData>
    <row r="1" spans="2:43" ht="15" customHeight="1">
      <c r="B1" s="1" t="s">
        <v>441</v>
      </c>
      <c r="C1" s="1" t="s">
        <v>51</v>
      </c>
      <c r="D1" s="1"/>
      <c r="E1" s="1"/>
      <c r="F1" s="1"/>
      <c r="G1" s="1"/>
      <c r="H1" s="1"/>
      <c r="I1" s="1"/>
      <c r="J1" s="1"/>
      <c r="K1" s="1"/>
      <c r="L1" s="1"/>
      <c r="M1" s="163" t="s">
        <v>513</v>
      </c>
      <c r="N1" s="164"/>
      <c r="O1" s="165"/>
      <c r="P1" s="161" t="s">
        <v>514</v>
      </c>
      <c r="Q1" s="161"/>
      <c r="R1" s="161"/>
      <c r="S1" s="161" t="s">
        <v>43</v>
      </c>
      <c r="T1" s="161"/>
      <c r="U1" s="161"/>
      <c r="V1" s="162" t="s">
        <v>515</v>
      </c>
      <c r="W1" s="162"/>
      <c r="X1" s="162"/>
      <c r="Y1" s="161" t="s">
        <v>516</v>
      </c>
      <c r="Z1" s="161"/>
      <c r="AA1" s="161"/>
      <c r="AB1" s="161" t="s">
        <v>517</v>
      </c>
      <c r="AC1" s="161"/>
      <c r="AD1" s="173"/>
    </row>
    <row r="2" spans="2:43" ht="15" thickBot="1">
      <c r="B2" s="1" t="s">
        <v>518</v>
      </c>
      <c r="C2" s="1"/>
      <c r="D2" s="1"/>
      <c r="E2" s="1"/>
      <c r="F2" s="1"/>
      <c r="G2" s="1"/>
      <c r="H2" s="1"/>
      <c r="I2" s="1"/>
      <c r="J2" s="1"/>
      <c r="K2" s="1"/>
      <c r="L2" s="1"/>
      <c r="M2" s="166"/>
      <c r="N2" s="167"/>
      <c r="O2" s="168"/>
      <c r="P2" s="88"/>
      <c r="Q2" s="89">
        <f>100%-T2-W2-Z2-AC2</f>
        <v>1</v>
      </c>
      <c r="R2" s="88"/>
      <c r="S2" s="64"/>
      <c r="T2" s="65">
        <f>INPUT!E38</f>
        <v>0</v>
      </c>
      <c r="U2" s="64"/>
      <c r="V2" s="88"/>
      <c r="W2" s="89">
        <f>INPUT!E37</f>
        <v>0</v>
      </c>
      <c r="X2" s="88"/>
      <c r="Y2" s="64"/>
      <c r="Z2" s="131">
        <f>0%</f>
        <v>0</v>
      </c>
      <c r="AA2" s="131"/>
      <c r="AB2" s="131"/>
      <c r="AC2" s="131">
        <f>0%</f>
        <v>0</v>
      </c>
      <c r="AD2" s="90"/>
      <c r="AF2" t="s">
        <v>519</v>
      </c>
    </row>
    <row r="3" spans="2:43" ht="15" thickBot="1">
      <c r="B3" s="4" t="s">
        <v>434</v>
      </c>
      <c r="C3" s="1"/>
      <c r="D3" s="1"/>
      <c r="E3" s="1"/>
      <c r="F3" s="1"/>
      <c r="G3" s="1"/>
      <c r="H3" s="1"/>
      <c r="I3" s="1"/>
      <c r="J3" s="1"/>
      <c r="K3" s="1"/>
      <c r="L3" s="1"/>
      <c r="M3" s="24" t="s">
        <v>467</v>
      </c>
      <c r="N3" s="67" t="s">
        <v>468</v>
      </c>
      <c r="O3" t="s">
        <v>469</v>
      </c>
      <c r="P3" s="32" t="s">
        <v>467</v>
      </c>
      <c r="Q3" s="18" t="s">
        <v>468</v>
      </c>
      <c r="R3" s="18" t="s">
        <v>469</v>
      </c>
      <c r="S3" s="93" t="s">
        <v>467</v>
      </c>
      <c r="T3" s="18" t="s">
        <v>468</v>
      </c>
      <c r="U3" s="92" t="s">
        <v>469</v>
      </c>
      <c r="V3" s="18" t="s">
        <v>467</v>
      </c>
      <c r="W3" s="18" t="s">
        <v>468</v>
      </c>
      <c r="X3" s="18" t="s">
        <v>469</v>
      </c>
      <c r="Y3" s="93" t="s">
        <v>467</v>
      </c>
      <c r="Z3" s="18" t="s">
        <v>468</v>
      </c>
      <c r="AA3" s="92" t="s">
        <v>469</v>
      </c>
      <c r="AB3" s="18" t="s">
        <v>467</v>
      </c>
      <c r="AC3" s="18" t="s">
        <v>468</v>
      </c>
      <c r="AD3" s="33" t="s">
        <v>469</v>
      </c>
      <c r="AF3" s="161" t="s">
        <v>43</v>
      </c>
      <c r="AG3" s="161"/>
      <c r="AH3" s="161"/>
      <c r="AI3" s="162" t="s">
        <v>515</v>
      </c>
      <c r="AJ3" s="162"/>
      <c r="AK3" s="162"/>
      <c r="AL3" s="161" t="s">
        <v>516</v>
      </c>
      <c r="AM3" s="161"/>
      <c r="AN3" s="161"/>
      <c r="AO3" s="161" t="s">
        <v>517</v>
      </c>
      <c r="AP3" s="161"/>
      <c r="AQ3" s="173"/>
    </row>
    <row r="4" spans="2:43" ht="15" thickBot="1">
      <c r="B4" t="s">
        <v>520</v>
      </c>
      <c r="C4" t="s">
        <v>521</v>
      </c>
      <c r="M4" s="94">
        <f>AVERAGE(P4*$Q$2+S4*$T$2+V4*$W$2+Y4*$Z$2+AB4*$AC$2)</f>
        <v>0</v>
      </c>
      <c r="N4" s="95">
        <f>AVERAGE(Q4*$Q$2+T4*$T$2+W4*$W$2+Z4*$Z$2+AC4*$AC$2)</f>
        <v>0</v>
      </c>
      <c r="O4" s="96">
        <f>AVERAGE(R4*$Q$2+U4*$T$2+X4*$W$2+AA4*$Z$2+AD4*$AC$2)</f>
        <v>0</v>
      </c>
      <c r="P4" s="97">
        <v>0</v>
      </c>
      <c r="Q4" s="97">
        <v>0</v>
      </c>
      <c r="R4" s="97">
        <v>0</v>
      </c>
      <c r="S4" s="98">
        <f>P4*$AG$5</f>
        <v>0</v>
      </c>
      <c r="T4" s="97">
        <f>Q4*$AG$5</f>
        <v>0</v>
      </c>
      <c r="U4" s="99">
        <f>R4*$AG$5</f>
        <v>0</v>
      </c>
      <c r="V4" s="97">
        <f>P4*$AJ$5</f>
        <v>0</v>
      </c>
      <c r="W4" s="97">
        <f>Q4*$AJ$5</f>
        <v>0</v>
      </c>
      <c r="X4" s="97">
        <f>R4*$AJ$5</f>
        <v>0</v>
      </c>
      <c r="Y4" s="98">
        <v>0</v>
      </c>
      <c r="Z4" s="97">
        <v>0</v>
      </c>
      <c r="AA4" s="99">
        <v>0</v>
      </c>
      <c r="AB4" s="97">
        <v>0</v>
      </c>
      <c r="AC4" s="97">
        <v>0</v>
      </c>
      <c r="AD4" s="100">
        <v>0</v>
      </c>
      <c r="AF4" s="88"/>
      <c r="AG4" s="89"/>
      <c r="AH4" s="88"/>
      <c r="AI4" s="88"/>
      <c r="AJ4" s="88"/>
      <c r="AK4" s="88"/>
      <c r="AL4" s="88"/>
      <c r="AM4" s="88"/>
      <c r="AN4" s="88"/>
      <c r="AO4" s="88"/>
      <c r="AP4" s="88"/>
      <c r="AQ4" s="90"/>
    </row>
    <row r="5" spans="2:43">
      <c r="B5" t="s">
        <v>522</v>
      </c>
      <c r="C5" t="s">
        <v>523</v>
      </c>
      <c r="I5">
        <v>120</v>
      </c>
      <c r="J5">
        <v>195</v>
      </c>
      <c r="K5">
        <v>485</v>
      </c>
      <c r="M5" s="101">
        <f>AVERAGE(P5*$Q$2+S5*$T$2+V5*$W$2+Y5*$Z$2+AB5*$AC$2)</f>
        <v>120</v>
      </c>
      <c r="N5" s="102">
        <f>AVERAGE(Q5*$Q$2+T5*$T$2+W5*$W$2+Z5*$Z$2+AC5*$AC$2)</f>
        <v>185</v>
      </c>
      <c r="O5" s="100">
        <f>AVERAGE(R5*$Q$2+U5*$T$2+X5*$W$2+AA5*$Z$2+AD5*$AC$2)</f>
        <v>485</v>
      </c>
      <c r="P5" s="97">
        <v>120</v>
      </c>
      <c r="Q5" s="97">
        <v>185</v>
      </c>
      <c r="R5" s="97">
        <v>485</v>
      </c>
      <c r="S5" s="98">
        <f>P5*$AG$5</f>
        <v>84</v>
      </c>
      <c r="T5" s="97">
        <f>Q5*$AG$5</f>
        <v>129.5</v>
      </c>
      <c r="U5" s="99">
        <f>R5*$AG$5</f>
        <v>339.5</v>
      </c>
      <c r="V5" s="97">
        <f>P5*$AJ$5</f>
        <v>138</v>
      </c>
      <c r="W5" s="97">
        <f>Q5*$AJ$5</f>
        <v>212.74999999999997</v>
      </c>
      <c r="X5" s="97">
        <f>R5*$AJ$5</f>
        <v>557.75</v>
      </c>
      <c r="Y5" s="98">
        <v>0</v>
      </c>
      <c r="Z5" s="97">
        <v>0</v>
      </c>
      <c r="AA5" s="99">
        <v>0</v>
      </c>
      <c r="AB5" s="97">
        <v>0</v>
      </c>
      <c r="AC5" s="97">
        <v>0</v>
      </c>
      <c r="AD5" s="100">
        <v>0</v>
      </c>
      <c r="AG5">
        <v>0.7</v>
      </c>
      <c r="AJ5">
        <v>1.1499999999999999</v>
      </c>
    </row>
    <row r="6" spans="2:43">
      <c r="B6" t="s">
        <v>524</v>
      </c>
      <c r="C6" t="s">
        <v>521</v>
      </c>
      <c r="I6">
        <v>145</v>
      </c>
      <c r="J6">
        <v>260</v>
      </c>
      <c r="K6">
        <v>345</v>
      </c>
      <c r="M6" s="101">
        <f>AVERAGE(P6*$Q$2+S6*$T$2+V6*$W$2+Y6*$Z$2+AB6*$AC$2)</f>
        <v>145</v>
      </c>
      <c r="N6" s="102">
        <f>AVERAGE(Q6*$Q$2+T6*$T$2+W6*$W$2+Z6*$Z$2+AC6*$AC$2)</f>
        <v>230</v>
      </c>
      <c r="O6" s="100">
        <f>AVERAGE(R6*$Q$2+U6*$T$2+X6*$W$2+AA6*$Z$2+AD6*$AC$2)</f>
        <v>345</v>
      </c>
      <c r="P6" s="97">
        <v>145</v>
      </c>
      <c r="Q6" s="97">
        <v>230</v>
      </c>
      <c r="R6" s="97">
        <v>345</v>
      </c>
      <c r="S6" s="98">
        <f>P6*$AG$5</f>
        <v>101.5</v>
      </c>
      <c r="T6" s="97">
        <f>Q6*$AG$5</f>
        <v>161</v>
      </c>
      <c r="U6" s="99">
        <f>R6*$AG$5</f>
        <v>241.49999999999997</v>
      </c>
      <c r="V6" s="97">
        <f>P6*$AJ$5</f>
        <v>166.75</v>
      </c>
      <c r="W6" s="97">
        <f>Q6*$AJ$5</f>
        <v>264.5</v>
      </c>
      <c r="X6" s="97">
        <f>R6*$AJ$5</f>
        <v>396.74999999999994</v>
      </c>
      <c r="Y6" s="98">
        <v>0</v>
      </c>
      <c r="Z6" s="97">
        <v>0</v>
      </c>
      <c r="AA6" s="99">
        <v>0</v>
      </c>
      <c r="AB6" s="97">
        <v>0</v>
      </c>
      <c r="AC6" s="97">
        <v>0</v>
      </c>
      <c r="AD6" s="100">
        <v>0</v>
      </c>
    </row>
    <row r="7" spans="2:43">
      <c r="B7" t="s">
        <v>525</v>
      </c>
      <c r="C7" t="s">
        <v>526</v>
      </c>
      <c r="M7" s="101">
        <f>AVERAGE(P7*$Q$2+S7*$T$2+V7*$W$2+Y7*$Z$2+AB7*$AC$2)</f>
        <v>240</v>
      </c>
      <c r="N7" s="102">
        <f>AVERAGE(Q7*$Q$2+T7*$T$2+W7*$W$2+Z7*$Z$2+AC7*$AC$2)</f>
        <v>260</v>
      </c>
      <c r="O7" s="100">
        <f>AVERAGE(R7*$Q$2+U7*$T$2+X7*$W$2+AA7*$Z$2+AD7*$AC$2)</f>
        <v>450</v>
      </c>
      <c r="P7" s="97">
        <v>240</v>
      </c>
      <c r="Q7" s="97">
        <v>260</v>
      </c>
      <c r="R7" s="97">
        <v>450</v>
      </c>
      <c r="S7" s="98">
        <f>P7*$AG$5</f>
        <v>168</v>
      </c>
      <c r="T7" s="97">
        <f>Q7*$AG$5</f>
        <v>182</v>
      </c>
      <c r="U7" s="99">
        <f>R7*$AG$5</f>
        <v>315</v>
      </c>
      <c r="V7" s="97">
        <f>P7*$AJ$5</f>
        <v>276</v>
      </c>
      <c r="W7" s="97">
        <f>Q7*$AJ$5</f>
        <v>299</v>
      </c>
      <c r="X7" s="97">
        <f>R7*$AJ$5</f>
        <v>517.5</v>
      </c>
      <c r="Y7" s="98">
        <v>0</v>
      </c>
      <c r="Z7" s="97">
        <v>0</v>
      </c>
      <c r="AA7" s="99">
        <v>0</v>
      </c>
      <c r="AB7" s="97">
        <v>0</v>
      </c>
      <c r="AC7" s="97">
        <v>0</v>
      </c>
      <c r="AD7" s="100">
        <v>0</v>
      </c>
    </row>
    <row r="8" spans="2:43">
      <c r="B8" t="s">
        <v>527</v>
      </c>
      <c r="C8" t="s">
        <v>528</v>
      </c>
      <c r="M8" s="101">
        <f>AVERAGE(P8*$Q$2+S8*$T$2+V8*$W$2+Y8*$Z$2+AB8*$AC$2)</f>
        <v>150</v>
      </c>
      <c r="N8" s="102">
        <f>AVERAGE(Q8*$Q$2+T8*$T$2+W8*$W$2+Z8*$Z$2+AC8*$AC$2)</f>
        <v>260</v>
      </c>
      <c r="O8" s="100">
        <f>AVERAGE(R8*$Q$2+U8*$T$2+X8*$W$2+AA8*$Z$2+AD8*$AC$2)</f>
        <v>280</v>
      </c>
      <c r="P8" s="97">
        <v>150</v>
      </c>
      <c r="Q8" s="97">
        <v>260</v>
      </c>
      <c r="R8" s="97">
        <v>280</v>
      </c>
      <c r="S8" s="98">
        <f>P8*$AG$5</f>
        <v>105</v>
      </c>
      <c r="T8" s="97">
        <f>Q8*$AG$5</f>
        <v>182</v>
      </c>
      <c r="U8" s="99">
        <f>R8*$AG$5</f>
        <v>196</v>
      </c>
      <c r="V8" s="97">
        <f>P8*$AJ$5</f>
        <v>172.5</v>
      </c>
      <c r="W8" s="97">
        <f>Q8*$AJ$5</f>
        <v>299</v>
      </c>
      <c r="X8" s="97">
        <f>R8*$AJ$5</f>
        <v>322</v>
      </c>
      <c r="Y8" s="98">
        <v>0</v>
      </c>
      <c r="Z8" s="97">
        <v>0</v>
      </c>
      <c r="AA8" s="99">
        <v>0</v>
      </c>
      <c r="AB8" s="97">
        <v>0</v>
      </c>
      <c r="AC8" s="97">
        <v>0</v>
      </c>
      <c r="AD8" s="100">
        <v>0</v>
      </c>
    </row>
    <row r="9" spans="2:43">
      <c r="B9" t="s">
        <v>529</v>
      </c>
      <c r="C9" t="s">
        <v>530</v>
      </c>
      <c r="M9" s="101">
        <f>AVERAGE(P9*$Q$2+S9*$T$2+V9*$W$2+Y9*$Z$2+AB9*$AC$2)</f>
        <v>110.25</v>
      </c>
      <c r="N9" s="102">
        <f>AVERAGE(Q9*$Q$2+T9*$T$2+W9*$W$2+Z9*$Z$2+AC9*$AC$2)</f>
        <v>145</v>
      </c>
      <c r="O9" s="100">
        <f>AVERAGE(R9*$Q$2+U9*$T$2+X9*$W$2+AA9*$Z$2+AD9*$AC$2)</f>
        <v>241.5</v>
      </c>
      <c r="P9" s="97">
        <f>105*1.05</f>
        <v>110.25</v>
      </c>
      <c r="Q9" s="97">
        <v>145</v>
      </c>
      <c r="R9" s="97">
        <f>230*1.05</f>
        <v>241.5</v>
      </c>
      <c r="S9" s="98">
        <f>P9*$AG$5</f>
        <v>77.174999999999997</v>
      </c>
      <c r="T9" s="97">
        <f>Q9*$AG$5</f>
        <v>101.5</v>
      </c>
      <c r="U9" s="99">
        <f>R9*$AG$5</f>
        <v>169.04999999999998</v>
      </c>
      <c r="V9" s="97">
        <f>P9*$AJ$5</f>
        <v>126.78749999999999</v>
      </c>
      <c r="W9" s="97">
        <f>Q9*$AJ$5</f>
        <v>166.75</v>
      </c>
      <c r="X9" s="97">
        <f>R9*$AJ$5</f>
        <v>277.72499999999997</v>
      </c>
      <c r="Y9" s="98">
        <v>0</v>
      </c>
      <c r="Z9" s="97">
        <v>0</v>
      </c>
      <c r="AA9" s="99">
        <v>0</v>
      </c>
      <c r="AB9" s="97">
        <v>0</v>
      </c>
      <c r="AC9" s="97">
        <v>0</v>
      </c>
      <c r="AD9" s="100">
        <v>0</v>
      </c>
    </row>
    <row r="10" spans="2:43">
      <c r="B10" t="s">
        <v>531</v>
      </c>
      <c r="C10" t="s">
        <v>521</v>
      </c>
      <c r="M10" s="101">
        <f>AVERAGE(P10*$Q$2+S10*$T$2+V10*$W$2+Y10*$Z$2+AB10*$AC$2)</f>
        <v>241.5</v>
      </c>
      <c r="N10" s="102">
        <f>AVERAGE(Q10*$Q$2+T10*$T$2+W10*$W$2+Z10*$Z$2+AC10*$AC$2)</f>
        <v>315</v>
      </c>
      <c r="O10" s="100">
        <f>AVERAGE(R10*$Q$2+U10*$T$2+X10*$W$2+AA10*$Z$2+AD10*$AC$2)</f>
        <v>456.75</v>
      </c>
      <c r="P10" s="97">
        <f>230*1.05</f>
        <v>241.5</v>
      </c>
      <c r="Q10" s="97">
        <v>315</v>
      </c>
      <c r="R10" s="97">
        <f>435*1.05</f>
        <v>456.75</v>
      </c>
      <c r="S10" s="98">
        <f>P10*$AG$5</f>
        <v>169.04999999999998</v>
      </c>
      <c r="T10" s="97">
        <f>Q10*$AG$5</f>
        <v>220.5</v>
      </c>
      <c r="U10" s="99">
        <f>R10*$AG$5</f>
        <v>319.72499999999997</v>
      </c>
      <c r="V10" s="97">
        <f>P10*$AJ$5</f>
        <v>277.72499999999997</v>
      </c>
      <c r="W10" s="97">
        <f>Q10*$AJ$5</f>
        <v>362.25</v>
      </c>
      <c r="X10" s="97">
        <f>R10*$AJ$5</f>
        <v>525.26249999999993</v>
      </c>
      <c r="Y10" s="98">
        <v>0</v>
      </c>
      <c r="Z10" s="97">
        <v>0</v>
      </c>
      <c r="AA10" s="99">
        <v>0</v>
      </c>
      <c r="AB10" s="97">
        <v>0</v>
      </c>
      <c r="AC10" s="97">
        <v>0</v>
      </c>
      <c r="AD10" s="100">
        <v>0</v>
      </c>
    </row>
    <row r="11" spans="2:43">
      <c r="B11" t="s">
        <v>532</v>
      </c>
      <c r="C11" t="s">
        <v>521</v>
      </c>
      <c r="M11" s="101">
        <f>AVERAGE(P11*$Q$2+S11*$T$2+V11*$W$2+Y11*$Z$2+AB11*$AC$2)</f>
        <v>305</v>
      </c>
      <c r="N11" s="102">
        <f>AVERAGE(Q11*$Q$2+T11*$T$2+W11*$W$2+Z11*$Z$2+AC11*$AC$2)</f>
        <v>325</v>
      </c>
      <c r="O11" s="100">
        <f>AVERAGE(R11*$Q$2+U11*$T$2+X11*$W$2+AA11*$Z$2+AD11*$AC$2)</f>
        <v>420</v>
      </c>
      <c r="P11" s="97">
        <v>305</v>
      </c>
      <c r="Q11" s="97">
        <v>325</v>
      </c>
      <c r="R11" s="97">
        <v>420</v>
      </c>
      <c r="S11" s="98">
        <f>P11*$AG$5</f>
        <v>213.5</v>
      </c>
      <c r="T11" s="97">
        <f>Q11*$AG$5</f>
        <v>227.49999999999997</v>
      </c>
      <c r="U11" s="99">
        <f>R11*$AG$5</f>
        <v>294</v>
      </c>
      <c r="V11" s="97">
        <f>P11*$AJ$5</f>
        <v>350.75</v>
      </c>
      <c r="W11" s="97">
        <f>Q11*$AJ$5</f>
        <v>373.74999999999994</v>
      </c>
      <c r="X11" s="97">
        <f>R11*$AJ$5</f>
        <v>482.99999999999994</v>
      </c>
      <c r="Y11" s="98">
        <v>0</v>
      </c>
      <c r="Z11" s="97">
        <v>0</v>
      </c>
      <c r="AA11" s="99">
        <v>0</v>
      </c>
      <c r="AB11" s="97">
        <v>0</v>
      </c>
      <c r="AC11" s="97">
        <v>0</v>
      </c>
      <c r="AD11" s="100">
        <v>0</v>
      </c>
    </row>
    <row r="12" spans="2:43">
      <c r="B12" t="s">
        <v>533</v>
      </c>
      <c r="C12" t="s">
        <v>521</v>
      </c>
      <c r="H12" s="123"/>
      <c r="M12" s="101">
        <f>AVERAGE(P12*$Q$2+S12*$T$2+V12*$W$2+Y12*$Z$2+AB12*$AC$2)</f>
        <v>150</v>
      </c>
      <c r="N12" s="102">
        <f>AVERAGE(Q12*$Q$2+T12*$T$2+W12*$W$2+Z12*$Z$2+AC12*$AC$2)</f>
        <v>210</v>
      </c>
      <c r="O12" s="100">
        <f>AVERAGE(R12*$Q$2+U12*$T$2+X12*$W$2+AA12*$Z$2+AD12*$AC$2)</f>
        <v>260</v>
      </c>
      <c r="P12" s="97">
        <v>150</v>
      </c>
      <c r="Q12" s="97">
        <v>210</v>
      </c>
      <c r="R12" s="97">
        <v>260</v>
      </c>
      <c r="S12" s="98">
        <f>P12*$AG$5</f>
        <v>105</v>
      </c>
      <c r="T12" s="97">
        <f>Q12*$AG$5</f>
        <v>147</v>
      </c>
      <c r="U12" s="99">
        <f>R12*$AG$5</f>
        <v>182</v>
      </c>
      <c r="V12" s="97">
        <f>P12*$AJ$5</f>
        <v>172.5</v>
      </c>
      <c r="W12" s="97">
        <f>Q12*$AJ$5</f>
        <v>241.49999999999997</v>
      </c>
      <c r="X12" s="97">
        <f>R12*$AJ$5</f>
        <v>299</v>
      </c>
      <c r="Y12" s="98">
        <v>0</v>
      </c>
      <c r="Z12" s="97">
        <v>0</v>
      </c>
      <c r="AA12" s="99">
        <v>0</v>
      </c>
      <c r="AB12" s="97">
        <v>0</v>
      </c>
      <c r="AC12" s="97">
        <v>0</v>
      </c>
      <c r="AD12" s="100">
        <v>0</v>
      </c>
    </row>
    <row r="13" spans="2:43">
      <c r="B13" t="s">
        <v>534</v>
      </c>
      <c r="C13" t="s">
        <v>521</v>
      </c>
      <c r="M13" s="101">
        <f>AVERAGE(P13*$Q$2+S13*$T$2+V13*$W$2+Y13*$Z$2+AB13*$AC$2)</f>
        <v>5.25</v>
      </c>
      <c r="N13" s="102">
        <f>AVERAGE(Q13*$Q$2+T13*$T$2+W13*$W$2+Z13*$Z$2+AC13*$AC$2)</f>
        <v>21</v>
      </c>
      <c r="O13" s="100">
        <f>AVERAGE(R13*$Q$2+U13*$T$2+X13*$W$2+AA13*$Z$2+AD13*$AC$2)</f>
        <v>63</v>
      </c>
      <c r="P13" s="97">
        <f>5*1.05</f>
        <v>5.25</v>
      </c>
      <c r="Q13" s="97">
        <f>20*1.05</f>
        <v>21</v>
      </c>
      <c r="R13" s="97">
        <f>60*1.05</f>
        <v>63</v>
      </c>
      <c r="S13" s="98">
        <f>P13*$AG$5</f>
        <v>3.6749999999999998</v>
      </c>
      <c r="T13" s="97">
        <f>Q13*$AG$5</f>
        <v>14.7</v>
      </c>
      <c r="U13" s="99">
        <f>R13*$AG$5</f>
        <v>44.099999999999994</v>
      </c>
      <c r="V13" s="97">
        <f>P13*$AJ$5</f>
        <v>6.0374999999999996</v>
      </c>
      <c r="W13" s="97">
        <f>Q13*$AJ$5</f>
        <v>24.15</v>
      </c>
      <c r="X13" s="97">
        <f>R13*$AJ$5</f>
        <v>72.449999999999989</v>
      </c>
      <c r="Y13" s="98">
        <v>0</v>
      </c>
      <c r="Z13" s="97">
        <v>0</v>
      </c>
      <c r="AA13" s="99">
        <v>0</v>
      </c>
      <c r="AB13" s="97">
        <v>0</v>
      </c>
      <c r="AC13" s="97">
        <v>0</v>
      </c>
      <c r="AD13" s="100">
        <v>0</v>
      </c>
    </row>
    <row r="14" spans="2:43">
      <c r="B14" t="s">
        <v>438</v>
      </c>
      <c r="C14" t="s">
        <v>521</v>
      </c>
      <c r="M14" s="101">
        <f>AVERAGE(P14*$Q$2+S14*$T$2+V14*$W$2+Y14*$Z$2+AB14*$AC$2)</f>
        <v>15.75</v>
      </c>
      <c r="N14" s="102">
        <f>AVERAGE(Q14*$Q$2+T14*$T$2+W14*$W$2+Z14*$Z$2+AC14*$AC$2)</f>
        <v>21</v>
      </c>
      <c r="O14" s="100">
        <f>AVERAGE(R14*$Q$2+U14*$T$2+X14*$W$2+AA14*$Z$2+AD14*$AC$2)</f>
        <v>57.75</v>
      </c>
      <c r="P14" s="97">
        <f>15*1.05</f>
        <v>15.75</v>
      </c>
      <c r="Q14" s="97">
        <f>20*1.05</f>
        <v>21</v>
      </c>
      <c r="R14" s="97">
        <f>55*1.05</f>
        <v>57.75</v>
      </c>
      <c r="S14" s="98">
        <f>P14*$AG$5</f>
        <v>11.024999999999999</v>
      </c>
      <c r="T14" s="97">
        <f>Q14*$AG$5</f>
        <v>14.7</v>
      </c>
      <c r="U14" s="99">
        <f>R14*$AG$5</f>
        <v>40.424999999999997</v>
      </c>
      <c r="V14" s="97">
        <f>P14*$AJ$5</f>
        <v>18.112499999999997</v>
      </c>
      <c r="W14" s="97">
        <f>Q14*$AJ$5</f>
        <v>24.15</v>
      </c>
      <c r="X14" s="97">
        <f>R14*$AJ$5</f>
        <v>66.412499999999994</v>
      </c>
      <c r="Y14" s="98">
        <v>0</v>
      </c>
      <c r="Z14" s="97">
        <v>0</v>
      </c>
      <c r="AA14" s="99">
        <v>0</v>
      </c>
      <c r="AB14" s="97">
        <v>0</v>
      </c>
      <c r="AC14" s="97">
        <v>0</v>
      </c>
      <c r="AD14" s="100">
        <v>0</v>
      </c>
    </row>
    <row r="15" spans="2:43">
      <c r="B15" t="s">
        <v>439</v>
      </c>
      <c r="C15" t="s">
        <v>535</v>
      </c>
      <c r="M15" s="101">
        <f>AVERAGE(P15*$Q$2+S15*$T$2+V15*$W$2+Y15*$Z$2+AB15*$AC$2)</f>
        <v>36.75</v>
      </c>
      <c r="N15" s="102">
        <f>AVERAGE(Q15*$Q$2+T15*$T$2+W15*$W$2+Z15*$Z$2+AC15*$AC$2)</f>
        <v>89.25</v>
      </c>
      <c r="O15" s="100">
        <f>AVERAGE(R15*$Q$2+U15*$T$2+X15*$W$2+AA15*$Z$2+AD15*$AC$2)</f>
        <v>215.25</v>
      </c>
      <c r="P15" s="97">
        <f>35*1.05</f>
        <v>36.75</v>
      </c>
      <c r="Q15" s="97">
        <f>85*1.05</f>
        <v>89.25</v>
      </c>
      <c r="R15" s="97">
        <f>205*1.05</f>
        <v>215.25</v>
      </c>
      <c r="S15" s="98">
        <f>P15*$AG$5</f>
        <v>25.724999999999998</v>
      </c>
      <c r="T15" s="97">
        <f>Q15*$AG$5</f>
        <v>62.474999999999994</v>
      </c>
      <c r="U15" s="99">
        <f>R15*$AG$5</f>
        <v>150.67499999999998</v>
      </c>
      <c r="V15" s="97">
        <f>P15*$AJ$5</f>
        <v>42.262499999999996</v>
      </c>
      <c r="W15" s="97">
        <f>Q15*$AJ$5</f>
        <v>102.63749999999999</v>
      </c>
      <c r="X15" s="97">
        <f>R15*$AJ$5</f>
        <v>247.53749999999999</v>
      </c>
      <c r="Y15" s="98">
        <v>0</v>
      </c>
      <c r="Z15" s="97">
        <v>0</v>
      </c>
      <c r="AA15" s="99">
        <v>0</v>
      </c>
      <c r="AB15" s="97">
        <v>0</v>
      </c>
      <c r="AC15" s="97">
        <v>0</v>
      </c>
      <c r="AD15" s="100">
        <v>0</v>
      </c>
    </row>
    <row r="16" spans="2:43" s="1" customFormat="1">
      <c r="B16" s="4" t="s">
        <v>536</v>
      </c>
      <c r="K16" s="106"/>
      <c r="M16" s="103">
        <f>AVERAGE(P16*$Q$2+S16*$T$2+V16*$W$2+Y16*$Z$2+AB16*$AC$2)</f>
        <v>1491</v>
      </c>
      <c r="N16" s="104">
        <f>AVERAGE(Q16*$Q$2+T16*$T$2+W16*$W$2+Z16*$Z$2+AC16*$AC$2)</f>
        <v>1653.75</v>
      </c>
      <c r="O16" s="105">
        <f>AVERAGE(R16*$Q$2+U16*$T$2+X16*$W$2+AA16*$Z$2+AD16*$AC$2)</f>
        <v>2063.25</v>
      </c>
      <c r="P16" s="106">
        <f>1420*1.05</f>
        <v>1491</v>
      </c>
      <c r="Q16" s="106">
        <f>1575*1.05</f>
        <v>1653.75</v>
      </c>
      <c r="R16" s="106">
        <f>1965*1.05</f>
        <v>2063.25</v>
      </c>
      <c r="S16" s="107">
        <f>P16*$AG$5</f>
        <v>1043.7</v>
      </c>
      <c r="T16" s="106">
        <f>Q16*$AG$5</f>
        <v>1157.625</v>
      </c>
      <c r="U16" s="108">
        <f>R16*$AG$5</f>
        <v>1444.2749999999999</v>
      </c>
      <c r="V16" s="106">
        <f>P16*$AJ$5</f>
        <v>1714.6499999999999</v>
      </c>
      <c r="W16" s="106">
        <f>Q16*$AJ$5</f>
        <v>1901.8124999999998</v>
      </c>
      <c r="X16" s="106">
        <f>R16*$AJ$5</f>
        <v>2372.7374999999997</v>
      </c>
      <c r="Y16" s="98">
        <v>1</v>
      </c>
      <c r="Z16" s="97">
        <v>1</v>
      </c>
      <c r="AA16" s="99">
        <v>1</v>
      </c>
      <c r="AB16" s="97">
        <v>1</v>
      </c>
      <c r="AC16" s="97">
        <v>1</v>
      </c>
      <c r="AD16" s="100">
        <v>1</v>
      </c>
    </row>
    <row r="17" spans="1:30">
      <c r="B17" t="s">
        <v>537</v>
      </c>
      <c r="M17" s="91">
        <f>AVERAGE(P17*$Q$2+S17*$T$2+V17*$W$2+Y17*$Z$2+AB17*$AC$2)</f>
        <v>1.1000000000000001</v>
      </c>
      <c r="N17" s="115">
        <f>AVERAGE(Q17*$Q$2+T17*$T$2+W17*$W$2+Z17*$Z$2+AC17*$AC$2)</f>
        <v>1.1000000000000001</v>
      </c>
      <c r="O17" s="26">
        <f>AVERAGE(R17*$Q$2+U17*$T$2+X17*$W$2+AA17*$Z$2+AD17*$AC$2)</f>
        <v>1.1000000000000001</v>
      </c>
      <c r="P17" s="25">
        <v>1.1000000000000001</v>
      </c>
      <c r="Q17" s="25">
        <v>1.1000000000000001</v>
      </c>
      <c r="R17" s="25">
        <v>1.1000000000000001</v>
      </c>
      <c r="S17" s="116">
        <f>P17</f>
        <v>1.1000000000000001</v>
      </c>
      <c r="T17" s="25">
        <f>S17</f>
        <v>1.1000000000000001</v>
      </c>
      <c r="U17" s="117">
        <f>T17</f>
        <v>1.1000000000000001</v>
      </c>
      <c r="V17" s="116">
        <f>S17</f>
        <v>1.1000000000000001</v>
      </c>
      <c r="W17" s="25">
        <f>V17</f>
        <v>1.1000000000000001</v>
      </c>
      <c r="X17" s="117">
        <f>W17</f>
        <v>1.1000000000000001</v>
      </c>
      <c r="Y17" s="98">
        <v>0</v>
      </c>
      <c r="Z17" s="97">
        <v>0</v>
      </c>
      <c r="AA17" s="99">
        <v>0</v>
      </c>
      <c r="AB17" s="97">
        <v>0</v>
      </c>
      <c r="AC17" s="97">
        <v>0</v>
      </c>
      <c r="AD17" s="100">
        <v>0</v>
      </c>
    </row>
    <row r="18" spans="1:30">
      <c r="B18" t="s">
        <v>538</v>
      </c>
      <c r="M18" s="91">
        <f>AVERAGE(P18*$Q$2+S18*$T$2+V18*$W$2+Y18*$Z$2+AB18*$AC$2)</f>
        <v>1.07</v>
      </c>
      <c r="N18" s="115">
        <f>AVERAGE(Q18*$Q$2+T18*$T$2+W18*$W$2+Z18*$Z$2+AC18*$AC$2)</f>
        <v>1.07</v>
      </c>
      <c r="O18" s="26">
        <f>AVERAGE(R18*$Q$2+U18*$T$2+X18*$W$2+AA18*$Z$2+AD18*$AC$2)</f>
        <v>1.07</v>
      </c>
      <c r="P18" s="25">
        <v>1.07</v>
      </c>
      <c r="Q18" s="25">
        <v>1.07</v>
      </c>
      <c r="R18" s="25">
        <v>1.07</v>
      </c>
      <c r="S18" s="25">
        <v>1.07</v>
      </c>
      <c r="T18" s="25">
        <v>1.07</v>
      </c>
      <c r="U18" s="25">
        <v>1.07</v>
      </c>
      <c r="V18" s="25">
        <v>1.07</v>
      </c>
      <c r="W18" s="25">
        <v>1.07</v>
      </c>
      <c r="X18" s="25">
        <v>1.07</v>
      </c>
      <c r="Y18" s="98">
        <v>0</v>
      </c>
      <c r="Z18" s="97">
        <v>0</v>
      </c>
      <c r="AA18" s="99">
        <v>0</v>
      </c>
      <c r="AB18" s="97">
        <v>0</v>
      </c>
      <c r="AC18" s="97">
        <v>0</v>
      </c>
      <c r="AD18" s="100">
        <v>0</v>
      </c>
    </row>
    <row r="19" spans="1:30">
      <c r="B19" t="s">
        <v>539</v>
      </c>
      <c r="M19" s="91">
        <f>AVERAGE(P19*$Q$2+S19*$T$2+V19*$W$2+Y19*$Z$2+AB19*$AC$2)</f>
        <v>1.03</v>
      </c>
      <c r="N19" s="115">
        <f>AVERAGE(Q19*$Q$2+T19*$T$2+W19*$W$2+Z19*$Z$2+AC19*$AC$2)</f>
        <v>1.03</v>
      </c>
      <c r="O19" s="26">
        <f>AVERAGE(R19*$Q$2+U19*$T$2+X19*$W$2+AA19*$Z$2+AD19*$AC$2)</f>
        <v>1.03</v>
      </c>
      <c r="P19" s="25">
        <v>1.03</v>
      </c>
      <c r="Q19" s="25">
        <v>1.03</v>
      </c>
      <c r="R19" s="25">
        <v>1.03</v>
      </c>
      <c r="S19" s="25">
        <v>1.04</v>
      </c>
      <c r="T19" s="25">
        <v>1.04</v>
      </c>
      <c r="U19" s="25">
        <v>1.04</v>
      </c>
      <c r="V19" s="25">
        <v>1.04</v>
      </c>
      <c r="W19" s="25">
        <v>1.04</v>
      </c>
      <c r="X19" s="25">
        <v>1.04</v>
      </c>
      <c r="Y19" s="98">
        <v>0</v>
      </c>
      <c r="Z19" s="97">
        <v>0</v>
      </c>
      <c r="AA19" s="99">
        <v>0</v>
      </c>
      <c r="AB19" s="97">
        <v>0</v>
      </c>
      <c r="AC19" s="97">
        <v>0</v>
      </c>
      <c r="AD19" s="100">
        <v>0</v>
      </c>
    </row>
    <row r="20" spans="1:30">
      <c r="B20" s="1" t="s">
        <v>540</v>
      </c>
      <c r="M20" s="103">
        <f>AVERAGE(P20*$Q$2+S20*$T$2+V20*$W$2+Y20*$Z$2+AB20*$AC$2)</f>
        <v>1737.75</v>
      </c>
      <c r="N20" s="104">
        <f>AVERAGE(Q20*$Q$2+T20*$T$2+W20*$W$2+Z20*$Z$2+AC20*$AC$2)</f>
        <v>1937.25</v>
      </c>
      <c r="O20" s="105">
        <f>AVERAGE(R20*$Q$2+U20*$T$2+X20*$W$2+AA20*$Z$2+AD20*$AC$2)</f>
        <v>2420.25</v>
      </c>
      <c r="P20" s="106">
        <f>1655*1.05</f>
        <v>1737.75</v>
      </c>
      <c r="Q20" s="106">
        <f>1845*1.05</f>
        <v>1937.25</v>
      </c>
      <c r="R20" s="106">
        <f>2305*1.05</f>
        <v>2420.25</v>
      </c>
      <c r="S20" s="107">
        <f>P20*$AG$5</f>
        <v>1216.425</v>
      </c>
      <c r="T20" s="106">
        <f>Q20*$AG$5</f>
        <v>1356.0749999999998</v>
      </c>
      <c r="U20" s="108">
        <f>R20*$AG$5</f>
        <v>1694.175</v>
      </c>
      <c r="V20" s="106">
        <f>P20*$AJ$5</f>
        <v>1998.4124999999999</v>
      </c>
      <c r="W20" s="106">
        <f>Q20*$AJ$5</f>
        <v>2227.8374999999996</v>
      </c>
      <c r="X20" s="106">
        <f>R20*$AJ$5</f>
        <v>2783.2874999999999</v>
      </c>
      <c r="Y20" s="98">
        <v>0</v>
      </c>
      <c r="Z20" s="97">
        <v>0</v>
      </c>
      <c r="AA20" s="99">
        <v>0</v>
      </c>
      <c r="AB20" s="97">
        <v>0</v>
      </c>
      <c r="AC20" s="97">
        <v>0</v>
      </c>
      <c r="AD20" s="100">
        <v>0</v>
      </c>
    </row>
    <row r="21" spans="1:30" ht="15" thickBot="1">
      <c r="B21" s="1" t="s">
        <v>541</v>
      </c>
      <c r="M21" s="109">
        <f>AVERAGE(P21*$Q$2+S21*$T$2+V21*$W$2+Y21*$Z$2+AB21*$AC$2)</f>
        <v>2102.6774999999998</v>
      </c>
      <c r="N21" s="110">
        <f>AVERAGE(Q21*$Q$2+T21*$T$2+W21*$W$2+Z21*$Z$2+AC21*$AC$2)</f>
        <v>2344.0724999999998</v>
      </c>
      <c r="O21" s="111">
        <f>AVERAGE(R21*$Q$2+U21*$T$2+X21*$W$2+AA21*$Z$2+AD21*$AC$2)</f>
        <v>2928.5025000000001</v>
      </c>
      <c r="P21" s="112">
        <f>P20*1.21</f>
        <v>2102.6774999999998</v>
      </c>
      <c r="Q21" s="112">
        <f t="shared" ref="Q21:R21" si="0">Q20*1.21</f>
        <v>2344.0724999999998</v>
      </c>
      <c r="R21" s="112">
        <f t="shared" si="0"/>
        <v>2928.5025000000001</v>
      </c>
      <c r="S21" s="113">
        <f>P21*$AG$5</f>
        <v>1471.8742499999998</v>
      </c>
      <c r="T21" s="112">
        <f>Q21*$AG$5</f>
        <v>1640.8507499999998</v>
      </c>
      <c r="U21" s="114">
        <f>R21*$AG$5</f>
        <v>2049.9517499999997</v>
      </c>
      <c r="V21" s="106">
        <f>P21*$AJ$5</f>
        <v>2418.0791249999997</v>
      </c>
      <c r="W21" s="106">
        <f>Q21*$AJ$5</f>
        <v>2695.6833749999996</v>
      </c>
      <c r="X21" s="106">
        <f>R21*$AJ$5</f>
        <v>3367.7778749999998</v>
      </c>
      <c r="Y21" s="98">
        <v>0</v>
      </c>
      <c r="Z21" s="97">
        <v>0</v>
      </c>
      <c r="AA21" s="99">
        <v>0</v>
      </c>
      <c r="AB21" s="97">
        <v>0</v>
      </c>
      <c r="AC21" s="97">
        <v>0</v>
      </c>
      <c r="AD21" s="100">
        <v>0</v>
      </c>
    </row>
    <row r="22" spans="1:30" ht="19.5" customHeight="1" thickBot="1">
      <c r="M22" s="169" t="s">
        <v>513</v>
      </c>
      <c r="N22" s="170"/>
      <c r="O22" s="171"/>
      <c r="P22" s="161" t="s">
        <v>514</v>
      </c>
      <c r="Q22" s="161"/>
      <c r="R22" s="161"/>
      <c r="S22" s="172" t="s">
        <v>43</v>
      </c>
      <c r="T22" s="172"/>
      <c r="U22" s="172"/>
      <c r="V22" s="162" t="s">
        <v>515</v>
      </c>
      <c r="W22" s="162"/>
      <c r="X22" s="162"/>
      <c r="Y22" s="172" t="s">
        <v>516</v>
      </c>
      <c r="Z22" s="172"/>
      <c r="AA22" s="172"/>
      <c r="AB22" s="161" t="s">
        <v>517</v>
      </c>
      <c r="AC22" s="161"/>
      <c r="AD22" s="173"/>
    </row>
    <row r="23" spans="1:30" s="1" customFormat="1" ht="15" thickBot="1">
      <c r="B23" s="4" t="s">
        <v>542</v>
      </c>
      <c r="C23" s="1" t="s">
        <v>543</v>
      </c>
      <c r="D23" s="1" t="s">
        <v>544</v>
      </c>
      <c r="E23" s="1" t="s">
        <v>545</v>
      </c>
      <c r="F23" s="1" t="s">
        <v>546</v>
      </c>
      <c r="G23" s="1" t="s">
        <v>547</v>
      </c>
      <c r="H23" s="1" t="s">
        <v>548</v>
      </c>
      <c r="I23" s="1" t="s">
        <v>549</v>
      </c>
      <c r="J23" s="1" t="s">
        <v>550</v>
      </c>
      <c r="K23" s="1" t="s">
        <v>551</v>
      </c>
      <c r="L23" s="76" t="s">
        <v>552</v>
      </c>
      <c r="M23" s="169"/>
      <c r="N23" s="170"/>
      <c r="O23" s="171"/>
      <c r="P23" s="64"/>
      <c r="Q23" s="65">
        <f>Q2</f>
        <v>1</v>
      </c>
      <c r="R23" s="64"/>
      <c r="S23" s="64"/>
      <c r="T23" s="65">
        <f>T2</f>
        <v>0</v>
      </c>
      <c r="U23" s="64"/>
      <c r="V23" s="64"/>
      <c r="W23" s="131">
        <f>W2</f>
        <v>0</v>
      </c>
      <c r="X23" s="64"/>
      <c r="Y23" s="64"/>
      <c r="Z23" s="131">
        <f>Z2</f>
        <v>0</v>
      </c>
      <c r="AA23" s="131"/>
      <c r="AB23" s="131"/>
      <c r="AC23" s="131">
        <f>AC2</f>
        <v>0</v>
      </c>
      <c r="AD23" s="66"/>
    </row>
    <row r="24" spans="1:30">
      <c r="B24" t="s">
        <v>20</v>
      </c>
      <c r="C24" t="str">
        <f>INPUT!E19</f>
        <v>nee</v>
      </c>
      <c r="D24" t="str">
        <f>IF(ISTEXT(C24),
IF(ISNUMBER(SEARCH("nee",UPPER($C24))),"Optie A",
IF(ISNUMBER(SEARCH("ja",UPPER($C24))),"Optie B","")))</f>
        <v>Optie A</v>
      </c>
      <c r="E24" s="14" t="s">
        <v>553</v>
      </c>
      <c r="F24">
        <v>0</v>
      </c>
      <c r="G24">
        <v>1.0249999999999999</v>
      </c>
      <c r="L24" s="77">
        <f>IF(D24="","",INDEX($F24:$K24,MATCH(D24,{"Optie A";"Optie B";"Optie C";"Optie D";"Optie E";"Optie F"},0)))</f>
        <v>0</v>
      </c>
      <c r="M24" s="79">
        <f>MAX(0,((SUM(M10,M15,M7)*$L$24-SUM(M10,M15,M7))*((((($M$16*($M$17-1))+$M$16)*($M$18-1)+$M$16+($M$16*($M$17-1)))*($M$19-1)+$M$16+($M$16*($M$17-1))+(($M$16*($M$17-1))+$M$16)*($M$18-1))/$M$16)))</f>
        <v>0</v>
      </c>
      <c r="N24" s="80">
        <f>MAX(0,((SUM(N10,N15,N7)*$L$24-SUM(N10,N15,N7))*((((($M$16*($M$17-1))+$M$16)*($M$18-1)+$M$16+($M$16*($M$17-1)))*($M$19-1)+$M$16+($M$16*($M$17-1))+(($M$16*($M$17-1))+$M$16)*($M$18-1))/$M$16)))</f>
        <v>0</v>
      </c>
      <c r="O24" s="81">
        <f>MAX(0,((SUM(O10,O15,O7)*$L$24-SUM(O10,O15,O7))*((((($M$16*($M$17-1))+$M$16)*($M$18-1)+$M$16+($M$16*($M$17-1)))*($M$19-1)+$M$16+($M$16*($M$17-1))+(($M$16*($M$17-1))+$M$16)*($M$18-1))/$M$16)))</f>
        <v>0</v>
      </c>
      <c r="P24" s="80">
        <f>MAX(0,((SUM(P10,P15,P7)*$L$24-SUM(P10,P15,P7))*((((($M$16*($M$17-1))+$M$16)*($M$18-1)+$M$16+($M$16*($M$17-1)))*($M$19-1)+$M$16+($M$16*($M$17-1))+(($M$16*($M$17-1))+$M$16)*($M$18-1))/$M$16)))</f>
        <v>0</v>
      </c>
      <c r="Q24" s="80">
        <f>MAX(0,((SUM(Q10,Q15,Q7)*$L$24-SUM(Q10,Q15,Q7))*((((($M$16*($M$17-1))+$M$16)*($M$18-1)+$M$16+($M$16*($M$17-1)))*($M$19-1)+$M$16+($M$16*($M$17-1))+(($M$16*($M$17-1))+$M$16)*($M$18-1))/$M$16)))</f>
        <v>0</v>
      </c>
      <c r="R24" s="80">
        <f>MAX(0,((SUM(R10,R15,R7)*$L$24-SUM(R10,R15,R7))*((((($M$16*($M$17-1))+$M$16)*($M$18-1)+$M$16+($M$16*($M$17-1)))*($M$19-1)+$M$16+($M$16*($M$17-1))+(($M$16*($M$17-1))+$M$16)*($M$18-1))/$M$16)))</f>
        <v>0</v>
      </c>
      <c r="S24" s="80">
        <f>MAX(0,((SUM(S10,S15,S7)*$L$24-SUM(S10,S15,S7))*((((($M$16*($M$17-1))+$M$16)*($M$18-1)+$M$16+($M$16*($M$17-1)))*($M$19-1)+$M$16+($M$16*($M$17-1))+(($M$16*($M$17-1))+$M$16)*($M$18-1))/$M$16)))</f>
        <v>0</v>
      </c>
      <c r="T24" s="80">
        <f>MAX(0,((SUM(T10,T15,T7)*$L$24-SUM(T10,T15,T7))*((((($M$16*($M$17-1))+$M$16)*($M$18-1)+$M$16+($M$16*($M$17-1)))*($M$19-1)+$M$16+($M$16*($M$17-1))+(($M$16*($M$17-1))+$M$16)*($M$18-1))/$M$16)))</f>
        <v>0</v>
      </c>
      <c r="U24" s="80">
        <f>MAX(0,((SUM(U10,U15,U7)*$L$24-SUM(U10,U15,U7))*((((($M$16*($M$17-1))+$M$16)*($M$18-1)+$M$16+($M$16*($M$17-1)))*($M$19-1)+$M$16+($M$16*($M$17-1))+(($M$16*($M$17-1))+$M$16)*($M$18-1))/$M$16)))</f>
        <v>0</v>
      </c>
      <c r="V24" s="80">
        <f>MAX(0,((SUM(V10,V15,V7)*$L$24-SUM(V10,V15,V7))*((((($M$16*($M$17-1))+$M$16)*($M$18-1)+$M$16+($M$16*($M$17-1)))*($M$19-1)+$M$16+($M$16*($M$17-1))+(($M$16*($M$17-1))+$M$16)*($M$18-1))/$M$16)))</f>
        <v>0</v>
      </c>
      <c r="W24" s="80">
        <f>MAX(0,((SUM(W10,W15,W7)*$L$24-SUM(W10,W15,W7))*((((($M$16*($M$17-1))+$M$16)*($M$18-1)+$M$16+($M$16*($M$17-1)))*($M$19-1)+$M$16+($M$16*($M$17-1))+(($M$16*($M$17-1))+$M$16)*($M$18-1))/$M$16)))</f>
        <v>0</v>
      </c>
      <c r="X24" s="80">
        <f>MAX(0,((SUM(X10,X15,X7)*$L$24-SUM(X10,X15,X7))*((((($M$16*($M$17-1))+$M$16)*($M$18-1)+$M$16+($M$16*($M$17-1)))*($M$19-1)+$M$16+($M$16*($M$17-1))+(($M$16*($M$17-1))+$M$16)*($M$18-1))/$M$16)))</f>
        <v>0</v>
      </c>
      <c r="Y24" s="80">
        <f>MAX(0,((SUM(Y10,Y15,Y7)*$L$24-SUM(Y10,Y15,Y7))*((((($M$16*($M$17-1))+$M$16)*($M$18-1)+$M$16+($M$16*($M$17-1)))*($M$19-1)+$M$16+($M$16*($M$17-1))+(($M$16*($M$17-1))+$M$16)*($M$18-1))/$M$16)))</f>
        <v>0</v>
      </c>
      <c r="Z24" s="80">
        <f>MAX(0,((SUM(Z10,Z15,Z7)*$L$24-SUM(Z10,Z15,Z7))*((((($M$16*($M$17-1))+$M$16)*($M$18-1)+$M$16+($M$16*($M$17-1)))*($M$19-1)+$M$16+($M$16*($M$17-1))+(($M$16*($M$17-1))+$M$16)*($M$18-1))/$M$16)))</f>
        <v>0</v>
      </c>
      <c r="AA24" s="80">
        <f>MAX(0,((SUM(AA10,AA15,AA7)*$L$24-SUM(AA10,AA15,AA7))*((((($M$16*($M$17-1))+$M$16)*($M$18-1)+$M$16+($M$16*($M$17-1)))*($M$19-1)+$M$16+($M$16*($M$17-1))+(($M$16*($M$17-1))+$M$16)*($M$18-1))/$M$16)))</f>
        <v>0</v>
      </c>
      <c r="AB24" s="80">
        <f>MAX(0,((SUM(AB10,AB15,AB7)*$L$24-SUM(AB10,AB15,AB7))*((((($M$16*($M$17-1))+$M$16)*($M$18-1)+$M$16+($M$16*($M$17-1)))*($M$19-1)+$M$16+($M$16*($M$17-1))+(($M$16*($M$17-1))+$M$16)*($M$18-1))/$M$16)))</f>
        <v>0</v>
      </c>
      <c r="AC24" s="80">
        <f>MAX(0,((SUM(AC10,AC15,AC7)*$L$24-SUM(AC10,AC15,AC7))*((((($M$16*($M$17-1))+$M$16)*($M$18-1)+$M$16+($M$16*($M$17-1)))*($M$19-1)+$M$16+($M$16*($M$17-1))+(($M$16*($M$17-1))+$M$16)*($M$18-1))/$M$16)))</f>
        <v>0</v>
      </c>
      <c r="AD24" s="81">
        <f>MAX(0,((SUM(AD10,AD15,AD7)*$L$24-SUM(AD10,AD15,AD7))*((((($M$16*($M$17-1))+$M$16)*($M$18-1)+$M$16+($M$16*($M$17-1)))*($M$19-1)+$M$16+($M$16*($M$17-1))+(($M$16*($M$17-1))+$M$16)*($M$18-1))/$M$16)))</f>
        <v>0</v>
      </c>
    </row>
    <row r="25" spans="1:30">
      <c r="B25" t="s">
        <v>22</v>
      </c>
      <c r="C25" t="str">
        <f>INPUT!E20</f>
        <v>BBL</v>
      </c>
      <c r="D25" t="str">
        <f>IF(ISTEXT(C25),
IF(ISNUMBER(SEARCH("BBL", UPPER($C25))), "Optie A",
IF(ISNUMBER(SEARCH("A", UPPER($C25))), "Optie B",
IF(ISNUMBER(SEARCH("B", UPPER($C25))), "Optie C",
IF(ISNUMBER(SEARCH("C", UPPER($C25))), "Optie D",
IF(ISNUMBER(SEARCH("OPTIE E", UPPER($C25))), "Optie E",
IF(ISNUMBER(SEARCH("OPTIE F", UPPER($C25))), "Optie F", "")))))),
"")</f>
        <v>Optie A</v>
      </c>
      <c r="E25" s="14" t="s">
        <v>554</v>
      </c>
      <c r="F25">
        <v>0</v>
      </c>
      <c r="G25">
        <v>1.0449999999999999</v>
      </c>
      <c r="H25">
        <v>1.03</v>
      </c>
      <c r="I25">
        <v>1.0149999999999999</v>
      </c>
      <c r="L25" s="77">
        <f>IF(D25="","",INDEX($F25:$K25,MATCH(D25,{"Optie A";"Optie B";"Optie C";"Optie D";"Optie E";"Optie F"},0)))</f>
        <v>0</v>
      </c>
      <c r="M25" s="82">
        <f>MAX(0,((SUM(M10,M7,M9,M12,M11)*$L$25-SUM(M10,M7,M9,M12,M11))*(((((M16*(M17-1))+M16)*(M18-1)+M16+(M16*(M17-1)))*(M19-1)+M16+(M16*(M17-1))+((M16*(M17-1))+M16)*(M18-1))/M16)))</f>
        <v>0</v>
      </c>
      <c r="N25" s="83">
        <f>MAX(0,((SUM(N10,N7,N9,N12,N11)*$L$25-SUM(N10,N7,N9,N12,N11))*(((((N16*(N17-1))+N16)*(N18-1)+N16+(N16*(N17-1)))*(N19-1)+N16+(N16*(N17-1))+((N16*(N17-1))+N16)*(N18-1))/N16)))</f>
        <v>0</v>
      </c>
      <c r="O25" s="84">
        <f>MAX(0,((SUM(O10,O7,O9,O12,O11)*$L$25-SUM(O10,O7,O9,O12,O11))*(((((O16*(O17-1))+O16)*(O18-1)+O16+(O16*(O17-1)))*(O19-1)+O16+(O16*(O17-1))+((O16*(O17-1))+O16)*(O18-1))/O16)))</f>
        <v>0</v>
      </c>
      <c r="P25" s="83">
        <f>MAX(0,((SUM(P10,P7,P9,P12,P11)*$L$25-SUM(P10,P7,P9,P12,P11))*(((((P16*(P17-1))+P16)*(P18-1)+P16+(P16*(P17-1)))*(P19-1)+P16+(P16*(P17-1))+((P16*(P17-1))+P16)*(P18-1))/P16)))</f>
        <v>0</v>
      </c>
      <c r="Q25" s="83">
        <f>MAX(0,((SUM(Q10,Q7,Q9,Q12,Q11)*$L$25-SUM(Q10,Q7,Q9,Q12,Q11))*(((((Q16*(Q17-1))+Q16)*(Q18-1)+Q16+(Q16*(Q17-1)))*(Q19-1)+Q16+(Q16*(Q17-1))+((Q16*(Q17-1))+Q16)*(Q18-1))/Q16)))</f>
        <v>0</v>
      </c>
      <c r="R25" s="83">
        <f>MAX(0,((SUM(R10,R7,R9,R12,R11)*$L$25-SUM(R10,R7,R9,R12,R11))*(((((R16*(R17-1))+R16)*(R18-1)+R16+(R16*(R17-1)))*(R19-1)+R16+(R16*(R17-1))+((R16*(R17-1))+R16)*(R18-1))/R16)))</f>
        <v>0</v>
      </c>
      <c r="S25" s="83">
        <f>MAX(0,((SUM(S10,S7,S9,S12,S11)*$L$25-SUM(S10,S7,S9,S12,S11))*(((((S16*(S17-1))+S16)*(S18-1)+S16+(S16*(S17-1)))*(S19-1)+S16+(S16*(S17-1))+((S16*(S17-1))+S16)*(S18-1))/S16)))</f>
        <v>0</v>
      </c>
      <c r="T25" s="83">
        <f>MAX(0,((SUM(T10,T7,T9,T12,T11)*$L$25-SUM(T10,T7,T9,T12,T11))*(((((T16*(T17-1))+T16)*(T18-1)+T16+(T16*(T17-1)))*(T19-1)+T16+(T16*(T17-1))+((T16*(T17-1))+T16)*(T18-1))/T16)))</f>
        <v>0</v>
      </c>
      <c r="U25" s="83">
        <f>MAX(0,((SUM(U10,U7,U9,U12,U11)*$L$25-SUM(U10,U7,U9,U12,U11))*(((((U16*(U17-1))+U16)*(U18-1)+U16+(U16*(U17-1)))*(U19-1)+U16+(U16*(U17-1))+((U16*(U17-1))+U16)*(U18-1))/U16)))</f>
        <v>0</v>
      </c>
      <c r="V25" s="83">
        <f>MAX(0,((SUM(V10,V7,V9,V12,V11)*$L$25-SUM(V10,V7,V9,V12,V11))*(((((V16*(V17-1))+V16)*(V18-1)+V16+(V16*(V17-1)))*(V19-1)+V16+(V16*(V17-1))+((V16*(V17-1))+V16)*(V18-1))/V16)))</f>
        <v>0</v>
      </c>
      <c r="W25" s="83">
        <f>MAX(0,((SUM(W10,W7,W9,W12,W11)*$L$25-SUM(W10,W7,W9,W12,W11))*(((((W16*(W17-1))+W16)*(W18-1)+W16+(W16*(W17-1)))*(W19-1)+W16+(W16*(W17-1))+((W16*(W17-1))+W16)*(W18-1))/W16)))</f>
        <v>0</v>
      </c>
      <c r="X25" s="83">
        <f>MAX(0,((SUM(X10,X7,X9,X12,X11)*$L$25-SUM(X10,X7,X9,X12,X11))*(((((X16*(X17-1))+X16)*(X18-1)+X16+(X16*(X17-1)))*(X19-1)+X16+(X16*(X17-1))+((X16*(X17-1))+X16)*(X18-1))/X16)))</f>
        <v>0</v>
      </c>
      <c r="Y25" s="83">
        <f>MAX(0,((SUM(Y10,Y7,Y9,Y12,Y11)*$L$25-SUM(Y10,Y7,Y9,Y12,Y11))*(((((Y16*(Y17-1))+Y16)*(Y18-1)+Y16+(Y16*(Y17-1)))*(Y19-1)+Y16+(Y16*(Y17-1))+((Y16*(Y17-1))+Y16)*(Y18-1))/Y16)))</f>
        <v>0</v>
      </c>
      <c r="Z25" s="83">
        <f>MAX(0,((SUM(Z10,Z7,Z9,Z12,Z11)*$L$25-SUM(Z10,Z7,Z9,Z12,Z11))*(((((Z16*(Z17-1))+Z16)*(Z18-1)+Z16+(Z16*(Z17-1)))*(Z19-1)+Z16+(Z16*(Z17-1))+((Z16*(Z17-1))+Z16)*(Z18-1))/Z16)))</f>
        <v>0</v>
      </c>
      <c r="AA25" s="83">
        <f>MAX(0,((SUM(AA10,AA7,AA9,AA12,AA11)*$L$25-SUM(AA10,AA7,AA9,AA12,AA11))*(((((AA16*(AA17-1))+AA16)*(AA18-1)+AA16+(AA16*(AA17-1)))*(AA19-1)+AA16+(AA16*(AA17-1))+((AA16*(AA17-1))+AA16)*(AA18-1))/AA16)))</f>
        <v>0</v>
      </c>
      <c r="AB25" s="83">
        <f>MAX(0,((SUM(AB10,AB7,AB9,AB12,AB11)*$L$25-SUM(AB10,AB7,AB9,AB12,AB11))*(((((AB16*(AB17-1))+AB16)*(AB18-1)+AB16+(AB16*(AB17-1)))*(AB19-1)+AB16+(AB16*(AB17-1))+((AB16*(AB17-1))+AB16)*(AB18-1))/AB16)))</f>
        <v>0</v>
      </c>
      <c r="AC25" s="83">
        <f>MAX(0,((SUM(AC10,AC7,AC9,AC12,AC11)*$L$25-SUM(AC10,AC7,AC9,AC12,AC11))*(((((AC16*(AC17-1))+AC16)*(AC18-1)+AC16+(AC16*(AC17-1)))*(AC19-1)+AC16+(AC16*(AC17-1))+((AC16*(AC17-1))+AC16)*(AC18-1))/AC16)))</f>
        <v>0</v>
      </c>
      <c r="AD25" s="84">
        <f>MAX(0,((SUM(AD10,AD7,AD9,AD12,AD11)*$L$25-SUM(AD10,AD7,AD9,AD12,AD11))*(((((AD16*(AD17-1))+AD16)*(AD18-1)+AD16+(AD16*(AD17-1)))*(AD19-1)+AD16+(AD16*(AD17-1))+((AD16*(AD17-1))+AD16)*(AD18-1))/AD16)))</f>
        <v>0</v>
      </c>
    </row>
    <row r="26" spans="1:30" ht="15.75" customHeight="1">
      <c r="A26" t="s">
        <v>555</v>
      </c>
      <c r="B26" t="s">
        <v>24</v>
      </c>
      <c r="C26" t="str">
        <f>INPUT!E21</f>
        <v>BENG</v>
      </c>
      <c r="D26" t="str">
        <f>IF(ISTEXT(C26),
IF(ISNUMBER(SEARCH("BENG", UPPER($C26))), "Optie A",
IF(ISNUMBER(SEARCH("Frisse scholen Engergie klasse A", UPPER($C26))), "Optie B",
IF(ISNUMBER(SEARCH("Frisse scholen Engergie klasse B", UPPER($C26))), "Optie C",
IF(ISNUMBER(SEARCH("Frisse scholen Engergie klasse C", UPPER($C26))), "Optie D",
IF(ISNUMBER(SEARCH("ENG", UPPER($C26))), "Optie E",
IF(ISNUMBER(SEARCH("0 op de meter", UPPER($C26))), "Optie F", "")))))),
"")</f>
        <v>Optie A</v>
      </c>
      <c r="E26" s="14" t="s">
        <v>554</v>
      </c>
      <c r="F26">
        <v>0</v>
      </c>
      <c r="G26">
        <v>1.1200000000000001</v>
      </c>
      <c r="H26">
        <v>1.1000000000000001</v>
      </c>
      <c r="I26">
        <v>1.05</v>
      </c>
      <c r="J26">
        <v>1.1399999999999999</v>
      </c>
      <c r="K26">
        <v>1.1499999999999999</v>
      </c>
      <c r="L26" s="77">
        <f>IF(D26="","",INDEX($F26:$K26,MATCH(D26,{"Optie A";"Optie B";"Optie C";"Optie D";"Optie E";"Optie F"},0)))</f>
        <v>0</v>
      </c>
      <c r="M26" s="82">
        <f>MAX(0,((SUM(M10,M7,M9,M12,M11)*$L$26-SUM(M10,M7,M9,M12,M11))*(((((M16*(M17-1))+M16)*(M18-1)+M16+(M16*(M17-1)))*(M19-1)+M16+(M16*(M17-1))+((M16*(M17-1))+M16)*(M18-1))/M16)))</f>
        <v>0</v>
      </c>
      <c r="N26" s="83">
        <f>MAX(0,((SUM(N10,N7,N9,N12,N11)*$L$26-SUM(N10,N7,N9,N12,N11))*(((((N16*(N17-1))+N16)*(N18-1)+N16+(N16*(N17-1)))*(N19-1)+N16+(N16*(N17-1))+((N16*(N17-1))+N16)*(N18-1))/N16)))</f>
        <v>0</v>
      </c>
      <c r="O26" s="84">
        <f>MAX(0,((SUM(O10,O7,O9,O12,O11)*$L$26-SUM(O10,O7,O9,O12,O11))*(((((O16*(O17-1))+O16)*(O18-1)+O16+(O16*(O17-1)))*(O19-1)+O16+(O16*(O17-1))+((O16*(O17-1))+O16)*(O18-1))/O16)))</f>
        <v>0</v>
      </c>
      <c r="P26" s="83">
        <f>MAX(0,((SUM(P10,P7,P9,P12,P11)*$L$26-SUM(P10,P7,P9,P12,P11))*(((((P16*(P17-1))+P16)*(P18-1)+P16+(P16*(P17-1)))*(P19-1)+P16+(P16*(P17-1))+((P16*(P17-1))+P16)*(P18-1))/P16)))</f>
        <v>0</v>
      </c>
      <c r="Q26" s="83">
        <f>MAX(0,((SUM(Q10,Q7,Q9,Q12,Q11)*$L$26-SUM(Q10,Q7,Q9,Q12,Q11))*(((((Q16*(Q17-1))+Q16)*(Q18-1)+Q16+(Q16*(Q17-1)))*(Q19-1)+Q16+(Q16*(Q17-1))+((Q16*(Q17-1))+Q16)*(Q18-1))/Q16)))</f>
        <v>0</v>
      </c>
      <c r="R26" s="83">
        <f>MAX(0,((SUM(R10,R7,R9,R12,R11)*$L$26-SUM(R10,R7,R9,R12,R11))*(((((R16*(R17-1))+R16)*(R18-1)+R16+(R16*(R17-1)))*(R19-1)+R16+(R16*(R17-1))+((R16*(R17-1))+R16)*(R18-1))/R16)))</f>
        <v>0</v>
      </c>
      <c r="S26" s="83">
        <f>MAX(0,((SUM(S10,S7,S9,S12,S11)*$L$26-SUM(S10,S7,S9,S12,S11))*(((((S16*(S17-1))+S16)*(S18-1)+S16+(S16*(S17-1)))*(S19-1)+S16+(S16*(S17-1))+((S16*(S17-1))+S16)*(S18-1))/S16)))</f>
        <v>0</v>
      </c>
      <c r="T26" s="83">
        <f>MAX(0,((SUM(T10,T7,T9,T12,T11)*$L$26-SUM(T10,T7,T9,T12,T11))*(((((T16*(T17-1))+T16)*(T18-1)+T16+(T16*(T17-1)))*(T19-1)+T16+(T16*(T17-1))+((T16*(T17-1))+T16)*(T18-1))/T16)))</f>
        <v>0</v>
      </c>
      <c r="U26" s="83">
        <f>MAX(0,((SUM(U10,U7,U9,U12,U11)*$L$26-SUM(U10,U7,U9,U12,U11))*(((((U16*(U17-1))+U16)*(U18-1)+U16+(U16*(U17-1)))*(U19-1)+U16+(U16*(U17-1))+((U16*(U17-1))+U16)*(U18-1))/U16)))</f>
        <v>0</v>
      </c>
      <c r="V26" s="83">
        <f>MAX(0,((SUM(V10,V7,V9,V12,V11)*$L$26-SUM(V10,V7,V9,V12,V11))*(((((V16*(V17-1))+V16)*(V18-1)+V16+(V16*(V17-1)))*(V19-1)+V16+(V16*(V17-1))+((V16*(V17-1))+V16)*(V18-1))/V16)))</f>
        <v>0</v>
      </c>
      <c r="W26" s="83">
        <f>MAX(0,((SUM(W10,W7,W9,W12,W11)*$L$26-SUM(W10,W7,W9,W12,W11))*(((((W16*(W17-1))+W16)*(W18-1)+W16+(W16*(W17-1)))*(W19-1)+W16+(W16*(W17-1))+((W16*(W17-1))+W16)*(W18-1))/W16)))</f>
        <v>0</v>
      </c>
      <c r="X26" s="83">
        <f>MAX(0,((SUM(X10,X7,X9,X12,X11)*$L$26-SUM(X10,X7,X9,X12,X11))*(((((X16*(X17-1))+X16)*(X18-1)+X16+(X16*(X17-1)))*(X19-1)+X16+(X16*(X17-1))+((X16*(X17-1))+X16)*(X18-1))/X16)))</f>
        <v>0</v>
      </c>
      <c r="Y26" s="83">
        <f>MAX(0,((SUM(Y10,Y7,Y9,Y12,Y11)*$L$26-SUM(Y10,Y7,Y9,Y12,Y11))*(((((Y16*(Y17-1))+Y16)*(Y18-1)+Y16+(Y16*(Y17-1)))*(Y19-1)+Y16+(Y16*(Y17-1))+((Y16*(Y17-1))+Y16)*(Y18-1))/Y16)))</f>
        <v>0</v>
      </c>
      <c r="Z26" s="83">
        <f>MAX(0,((SUM(Z10,Z7,Z9,Z12,Z11)*$L$26-SUM(Z10,Z7,Z9,Z12,Z11))*(((((Z16*(Z17-1))+Z16)*(Z18-1)+Z16+(Z16*(Z17-1)))*(Z19-1)+Z16+(Z16*(Z17-1))+((Z16*(Z17-1))+Z16)*(Z18-1))/Z16)))</f>
        <v>0</v>
      </c>
      <c r="AA26" s="83">
        <f>MAX(0,((SUM(AA10,AA7,AA9,AA12,AA11)*$L$26-SUM(AA10,AA7,AA9,AA12,AA11))*(((((AA16*(AA17-1))+AA16)*(AA18-1)+AA16+(AA16*(AA17-1)))*(AA19-1)+AA16+(AA16*(AA17-1))+((AA16*(AA17-1))+AA16)*(AA18-1))/AA16)))</f>
        <v>0</v>
      </c>
      <c r="AB26" s="83">
        <f>MAX(0,((SUM(AB10,AB7,AB9,AB12,AB11)*$L$26-SUM(AB10,AB7,AB9,AB12,AB11))*(((((AB16*(AB17-1))+AB16)*(AB18-1)+AB16+(AB16*(AB17-1)))*(AB19-1)+AB16+(AB16*(AB17-1))+((AB16*(AB17-1))+AB16)*(AB18-1))/AB16)))</f>
        <v>0</v>
      </c>
      <c r="AC26" s="83">
        <f>MAX(0,((SUM(AC10,AC7,AC9,AC12,AC11)*$L$26-SUM(AC10,AC7,AC9,AC12,AC11))*(((((AC16*(AC17-1))+AC16)*(AC18-1)+AC16+(AC16*(AC17-1)))*(AC19-1)+AC16+(AC16*(AC17-1))+((AC16*(AC17-1))+AC16)*(AC18-1))/AC16)))</f>
        <v>0</v>
      </c>
      <c r="AD26" s="84">
        <f>MAX(0,((SUM(AD10,AD7,AD9,AD12,AD11)*$L$26-SUM(AD10,AD7,AD9,AD12,AD11))*(((((AD16*(AD17-1))+AD16)*(AD18-1)+AD16+(AD16*(AD17-1)))*(AD19-1)+AD16+(AD16*(AD17-1))+((AD16*(AD17-1))+AD16)*(AD18-1))/AD16)))</f>
        <v>0</v>
      </c>
    </row>
    <row r="27" spans="1:30">
      <c r="A27" t="s">
        <v>555</v>
      </c>
      <c r="B27" t="s">
        <v>26</v>
      </c>
      <c r="C27" t="str">
        <f>INPUT!E22</f>
        <v>15%</v>
      </c>
      <c r="D27" t="str">
        <f>IF(ISTEXT(C27),
IF(ISNUMBER(SEARCH("15%", UPPER($C27))), "Optie A",
IF(ISNUMBER(SEARCH("25%", UPPER($C27))), "Optie B",
IF(ISNUMBER(SEARCH("35%", UPPER($C27))), "Optie C",
IF(ISNUMBER(SEARCH("C", UPPER($C27))), "Optie D",
IF(ISNUMBER(SEARCH("OPTIE E", UPPER($C27))), "Optie E",
IF(ISNUMBER(SEARCH("OPTIE F", UPPER($C27))), "Optie F", "")))))),
"")</f>
        <v>Optie A</v>
      </c>
      <c r="E27" s="14" t="s">
        <v>556</v>
      </c>
      <c r="F27">
        <v>1.01</v>
      </c>
      <c r="G27">
        <v>1.02</v>
      </c>
      <c r="H27">
        <v>1.03</v>
      </c>
      <c r="L27" s="77">
        <f>IF(D27="","",INDEX($F27:$K27,MATCH(D27,{"Optie A";"Optie B";"Optie C";"Optie D";"Optie E";"Optie F"},0)))</f>
        <v>1.01</v>
      </c>
      <c r="M27" s="82">
        <f>MAX(0,((SUM(M6+M7+M9+M10)*$L$27-SUM(M6+M7+M9+M10))*(((((M16*(M17-1))+M16)*(M18-1)+M16+(M16*(M17-1)))*(M19-1)+M16+(M16*(M17-1))+((M16*(M17-1))+M16)*(M18-1))/M16)))</f>
        <v>8.9316939249999407</v>
      </c>
      <c r="N27" s="83">
        <f>MAX(0,((SUM(N6+N7+N9+N10)*$L$27-SUM(N6+N7+N9+N10))*(((((N16*(N17-1))+N16)*(N18-1)+N16+(N16*(N17-1)))*(N19-1)+N16+(N16*(N17-1))+((N16*(N17-1))+N16)*(N18-1))/N16)))</f>
        <v>11.516945000000002</v>
      </c>
      <c r="O27" s="84">
        <f>MAX(0,((SUM(O6+O7+O9+O10)*$L$27-SUM(O6+O7+O9+O10))*(((((O16*(O17-1))+O16)*(O18-1)+O16+(O16*(O17-1)))*(O19-1)+O16+(O16*(O17-1))+((O16*(O17-1))+O16)*(O18-1))/O16)))</f>
        <v>18.102819075000149</v>
      </c>
      <c r="P27" s="83">
        <f>MAX(0,((SUM(P6+P7+P9+P10)*$L$27-SUM(P6+P7+P9+P10))*(((((P16*(P17-1))+P16)*(P18-1)+P16+(P16*(P17-1)))*(P19-1)+P16+(P16*(P17-1))+((P16*(P17-1))+P16)*(P18-1))/P16)))</f>
        <v>8.9316939249999407</v>
      </c>
      <c r="Q27" s="83">
        <f>MAX(0,((SUM(Q6+Q7+Q9+Q10)*$L$27-SUM(Q6+Q7+Q9+Q10))*(((((Q16*(Q17-1))+Q16)*(Q18-1)+Q16+(Q16*(Q17-1)))*(Q19-1)+Q16+(Q16*(Q17-1))+((Q16*(Q17-1))+Q16)*(Q18-1))/Q16)))</f>
        <v>11.516945000000002</v>
      </c>
      <c r="R27" s="83">
        <f>MAX(0,((SUM(R6+R7+R9+R10)*$L$27-SUM(R6+R7+R9+R10))*(((((R16*(R17-1))+R16)*(R18-1)+R16+(R16*(R17-1)))*(R19-1)+R16+(R16*(R17-1))+((R16*(R17-1))+R16)*(R18-1))/R16)))</f>
        <v>18.102819075000149</v>
      </c>
      <c r="S27" s="83">
        <f>MAX(0,((SUM(S6+S7+S9+S10)*$L$27-SUM(S6+S7+S9+S10))*(((((S16*(S17-1))+S16)*(S18-1)+S16+(S16*(S17-1)))*(S19-1)+S16+(S16*(S17-1))+((S16*(S17-1))+S16)*(S18-1))/S16)))</f>
        <v>6.3128865799999723</v>
      </c>
      <c r="T27" s="83">
        <f>MAX(0,((SUM(T6+T7+T9+T10)*$L$27-SUM(T6+T7+T9+T10))*(((((T16*(T17-1))+T16)*(T18-1)+T16+(T16*(T17-1)))*(T19-1)+T16+(T16*(T17-1))+((T16*(T17-1))+T16)*(T18-1))/T16)))</f>
        <v>8.1401319999999728</v>
      </c>
      <c r="U27" s="83">
        <f>MAX(0,((SUM(U6+U7+U9+U10)*$L$27-SUM(U6+U7+U9+U10))*(((((U16*(U17-1))+U16)*(U18-1)+U16+(U16*(U17-1)))*(U19-1)+U16+(U16*(U17-1))+((U16*(U17-1))+U16)*(U18-1))/U16)))</f>
        <v>12.795002219999912</v>
      </c>
      <c r="V27" s="83">
        <f>MAX(0,((SUM(V6+V7+V9+V10)*$L$27-SUM(V6+V7+V9+V10))*(((((V16*(V17-1))+V16)*(V18-1)+V16+(V16*(V17-1)))*(V19-1)+V16+(V16*(V17-1))+((V16*(V17-1))+V16)*(V18-1))/V16)))</f>
        <v>10.371170809999995</v>
      </c>
      <c r="W27" s="83">
        <f>MAX(0,((SUM(W6+W7+W9+W10)*$L$27-SUM(W6+W7+W9+W10))*(((((W16*(W17-1))+W16)*(W18-1)+W16+(W16*(W17-1)))*(W19-1)+W16+(W16*(W17-1))+((W16*(W17-1))+W16)*(W18-1))/W16)))</f>
        <v>13.373073999999948</v>
      </c>
      <c r="X27" s="83">
        <f>MAX(0,((SUM(X6+X7+X9+X10)*$L$27-SUM(X6+X7+X9+X10))*(((((X16*(X17-1))+X16)*(X18-1)+X16+(X16*(X17-1)))*(X19-1)+X16+(X16*(X17-1))+((X16*(X17-1))+X16)*(X18-1))/X16)))</f>
        <v>21.020360790000129</v>
      </c>
      <c r="Y27" s="83">
        <f>MAX(0,((SUM(Y6+Y7+Y9+Y10)*$L$27-SUM(Y6+Y7+Y9+Y10))*(((((Y16*(Y17-1))+Y16)*(Y18-1)+Y16+(Y16*(Y17-1)))*(Y19-1)+Y16+(Y16*(Y17-1))+((Y16*(Y17-1))+Y16)*(Y18-1))/Y16)))</f>
        <v>0</v>
      </c>
      <c r="Z27" s="83">
        <f>MAX(0,((SUM(Z6+Z7+Z9+Z10)*$L$27-SUM(Z6+Z7+Z9+Z10))*(((((Z16*(Z17-1))+Z16)*(Z18-1)+Z16+(Z16*(Z17-1)))*(Z19-1)+Z16+(Z16*(Z17-1))+((Z16*(Z17-1))+Z16)*(Z18-1))/Z16)))</f>
        <v>0</v>
      </c>
      <c r="AA27" s="83">
        <f>MAX(0,((SUM(AA6+AA7+AA9+AA10)*$L$27-SUM(AA6+AA7+AA9+AA10))*(((((AA16*(AA17-1))+AA16)*(AA18-1)+AA16+(AA16*(AA17-1)))*(AA19-1)+AA16+(AA16*(AA17-1))+((AA16*(AA17-1))+AA16)*(AA18-1))/AA16)))</f>
        <v>0</v>
      </c>
      <c r="AB27" s="83">
        <f>MAX(0,((SUM(AB6+AB7+AB9+AB10)*$L$27-SUM(AB6+AB7+AB9+AB10))*(((((AB16*(AB17-1))+AB16)*(AB18-1)+AB16+(AB16*(AB17-1)))*(AB19-1)+AB16+(AB16*(AB17-1))+((AB16*(AB17-1))+AB16)*(AB18-1))/AB16)))</f>
        <v>0</v>
      </c>
      <c r="AC27" s="83">
        <f>MAX(0,((SUM(AC6+AC7+AC9+AC10)*$L$27-SUM(AC6+AC7+AC9+AC10))*(((((AC16*(AC17-1))+AC16)*(AC18-1)+AC16+(AC16*(AC17-1)))*(AC19-1)+AC16+(AC16*(AC17-1))+((AC16*(AC17-1))+AC16)*(AC18-1))/AC16)))</f>
        <v>0</v>
      </c>
      <c r="AD27" s="84">
        <f>MAX(0,((SUM(AD6+AD7+AD9+AD10)*$L$27-SUM(AD6+AD7+AD9+AD10))*(((((AD16*(AD17-1))+AD16)*(AD18-1)+AD16+(AD16*(AD17-1)))*(AD19-1)+AD16+(AD16*(AD17-1))+((AD16*(AD17-1))+AD16)*(AD18-1))/AD16)))</f>
        <v>0</v>
      </c>
    </row>
    <row r="28" spans="1:30">
      <c r="A28" t="s">
        <v>555</v>
      </c>
      <c r="B28" t="s">
        <v>28</v>
      </c>
      <c r="C28" t="str">
        <f>INPUT!E23</f>
        <v>30%</v>
      </c>
      <c r="D28" t="str">
        <f>IF(ISTEXT(C28),
IF(ISNUMBER(SEARCH("30%", UPPER($C28))), "Optie A",
IF(ISNUMBER(SEARCH("40%", UPPER($C28))), "Optie B",
IF(ISNUMBER(SEARCH("50%", UPPER($C28))), "Optie C",
IF(ISNUMBER(SEARCH("C", UPPER($C28))), "Optie D",
IF(ISNUMBER(SEARCH("OPTIE E", UPPER($C28))), "Optie E",
IF(ISNUMBER(SEARCH("OPTIE F", UPPER($C28))), "Optie F", "")))))),
"")</f>
        <v>Optie A</v>
      </c>
      <c r="E28" s="14" t="s">
        <v>556</v>
      </c>
      <c r="F28">
        <v>1.0149999999999999</v>
      </c>
      <c r="G28">
        <v>1.03</v>
      </c>
      <c r="H28">
        <v>1.0449999999999999</v>
      </c>
      <c r="L28" s="77">
        <f>IF(D28="","",INDEX($F28:$K28,MATCH(D28,{"Optie A";"Optie B";"Optie C";"Optie D";"Optie E";"Optie F"},0)))</f>
        <v>1.0149999999999999</v>
      </c>
      <c r="M28" s="82">
        <f>MAX(0,((SUM(M6+M7+M10+M9)*$L$28-SUM(M6+M7+M10+M9))*(((((M16*(M17-1))+M16)*(M18-1)+M16+(M16*(M17-1)))*(M19-1)+M16+(M16*(M17-1))+((M16*(M17-1))+M16)*(M18-1))/M16)))</f>
        <v>13.39754088749998</v>
      </c>
      <c r="N28" s="83">
        <f>MAX(0,((SUM(N6+N7+N10+N9)*$L$28-SUM(N6+N7+N10+N9))*(((((N16*(N17-1))+N16)*(N18-1)+N16+(N16*(N17-1)))*(N19-1)+N16+(N16*(N17-1))+((N16*(N17-1))+N16)*(N18-1))/N16)))</f>
        <v>17.275417499999865</v>
      </c>
      <c r="O28" s="84">
        <f>MAX(0,((SUM(O6+O7+O10+O9)*$L$28-SUM(O6+O7+O10+O9))*(((((O16*(O17-1))+O16)*(O18-1)+O16+(O16*(O17-1)))*(O19-1)+O16+(O16*(O17-1))+((O16*(O17-1))+O16)*(O18-1))/O16)))</f>
        <v>27.154228612499811</v>
      </c>
      <c r="P28" s="83">
        <f>MAX(0,((SUM(P6+P7+P10+P9)*$L$28-SUM(P6+P7+P10+P9))*(((((P16*(P17-1))+P16)*(P18-1)+P16+(P16*(P17-1)))*(P19-1)+P16+(P16*(P17-1))+((P16*(P17-1))+P16)*(P18-1))/P16)))</f>
        <v>13.39754088749998</v>
      </c>
      <c r="Q28" s="83">
        <f>MAX(0,((SUM(Q6+Q7+Q10+Q9)*$L$28-SUM(Q6+Q7+Q10+Q9))*(((((Q16*(Q17-1))+Q16)*(Q18-1)+Q16+(Q16*(Q17-1)))*(Q19-1)+Q16+(Q16*(Q17-1))+((Q16*(Q17-1))+Q16)*(Q18-1))/Q16)))</f>
        <v>17.275417499999865</v>
      </c>
      <c r="R28" s="83">
        <f>MAX(0,((SUM(R6+R7+R10+R9)*$L$28-SUM(R6+R7+R10+R9))*(((((R16*(R17-1))+R16)*(R18-1)+R16+(R16*(R17-1)))*(R19-1)+R16+(R16*(R17-1))+((R16*(R17-1))+R16)*(R18-1))/R16)))</f>
        <v>27.154228612499811</v>
      </c>
      <c r="S28" s="83">
        <f>MAX(0,((SUM(S6+S7+S10+S9)*$L$28-SUM(S6+S7+S10+S9))*(((((S16*(S17-1))+S16)*(S18-1)+S16+(S16*(S17-1)))*(S19-1)+S16+(S16*(S17-1))+((S16*(S17-1))+S16)*(S18-1))/S16)))</f>
        <v>9.4693298699999584</v>
      </c>
      <c r="T28" s="83">
        <f>MAX(0,((SUM(T6+T7+T10+T9)*$L$28-SUM(T6+T7+T10+T9))*(((((T16*(T17-1))+T16)*(T18-1)+T16+(T16*(T17-1)))*(T19-1)+T16+(T16*(T17-1))+((T16*(T17-1))+T16)*(T18-1))/T16)))</f>
        <v>12.21019799999989</v>
      </c>
      <c r="U28" s="83">
        <f>MAX(0,((SUM(U6+U7+U10+U9)*$L$28-SUM(U6+U7+U10+U9))*(((((U16*(U17-1))+U16)*(U18-1)+U16+(U16*(U17-1)))*(U19-1)+U16+(U16*(U17-1))+((U16*(U17-1))+U16)*(U18-1))/U16)))</f>
        <v>19.192503329999866</v>
      </c>
      <c r="V28" s="83">
        <f>MAX(0,((SUM(V6+V7+V10+V9)*$L$28-SUM(V6+V7+V10+V9))*(((((V16*(V17-1))+V16)*(V18-1)+V16+(V16*(V17-1)))*(V19-1)+V16+(V16*(V17-1))+((V16*(V17-1))+V16)*(V18-1))/V16)))</f>
        <v>15.556756214999922</v>
      </c>
      <c r="W28" s="83">
        <f>MAX(0,((SUM(W6+W7+W10+W9)*$L$28-SUM(W6+W7+W10+W9))*(((((W16*(W17-1))+W16)*(W18-1)+W16+(W16*(W17-1)))*(W19-1)+W16+(W16*(W17-1))+((W16*(W17-1))+W16)*(W18-1))/W16)))</f>
        <v>20.059610999999784</v>
      </c>
      <c r="X28" s="83">
        <f>MAX(0,((SUM(X6+X7+X10+X9)*$L$28-SUM(X6+X7+X10+X9))*(((((X16*(X17-1))+X16)*(X18-1)+X16+(X16*(X17-1)))*(X19-1)+X16+(X16*(X17-1))+((X16*(X17-1))+X16)*(X18-1))/X16)))</f>
        <v>31.530541184999915</v>
      </c>
      <c r="Y28" s="83">
        <f>MAX(0,((SUM(Y6+Y7+Y10+Y9)*$L$28-SUM(Y6+Y7+Y10+Y9))*(((((Y16*(Y17-1))+Y16)*(Y18-1)+Y16+(Y16*(Y17-1)))*(Y19-1)+Y16+(Y16*(Y17-1))+((Y16*(Y17-1))+Y16)*(Y18-1))/Y16)))</f>
        <v>0</v>
      </c>
      <c r="Z28" s="83">
        <f>MAX(0,((SUM(Z6+Z7+Z10+Z9)*$L$28-SUM(Z6+Z7+Z10+Z9))*(((((Z16*(Z17-1))+Z16)*(Z18-1)+Z16+(Z16*(Z17-1)))*(Z19-1)+Z16+(Z16*(Z17-1))+((Z16*(Z17-1))+Z16)*(Z18-1))/Z16)))</f>
        <v>0</v>
      </c>
      <c r="AA28" s="83">
        <f>MAX(0,((SUM(AA6+AA7+AA10+AA9)*$L$28-SUM(AA6+AA7+AA10+AA9))*(((((AA16*(AA17-1))+AA16)*(AA18-1)+AA16+(AA16*(AA17-1)))*(AA19-1)+AA16+(AA16*(AA17-1))+((AA16*(AA17-1))+AA16)*(AA18-1))/AA16)))</f>
        <v>0</v>
      </c>
      <c r="AB28" s="83">
        <f>MAX(0,((SUM(AB6+AB7+AB10+AB9)*$L$28-SUM(AB6+AB7+AB10+AB9))*(((((AB16*(AB17-1))+AB16)*(AB18-1)+AB16+(AB16*(AB17-1)))*(AB19-1)+AB16+(AB16*(AB17-1))+((AB16*(AB17-1))+AB16)*(AB18-1))/AB16)))</f>
        <v>0</v>
      </c>
      <c r="AC28" s="83">
        <f>MAX(0,((SUM(AC6+AC7+AC10+AC9)*$L$28-SUM(AC6+AC7+AC10+AC9))*(((((AC16*(AC17-1))+AC16)*(AC18-1)+AC16+(AC16*(AC17-1)))*(AC19-1)+AC16+(AC16*(AC17-1))+((AC16*(AC17-1))+AC16)*(AC18-1))/AC16)))</f>
        <v>0</v>
      </c>
      <c r="AD28" s="84">
        <f>MAX(0,((SUM(AD6+AD7+AD10+AD9)*$L$28-SUM(AD6+AD7+AD10+AD9))*(((((AD16*(AD17-1))+AD16)*(AD18-1)+AD16+(AD16*(AD17-1)))*(AD19-1)+AD16+(AD16*(AD17-1))+((AD16*(AD17-1))+AD16)*(AD18-1))/AD16)))</f>
        <v>0</v>
      </c>
    </row>
    <row r="29" spans="1:30">
      <c r="B29" t="s">
        <v>30</v>
      </c>
      <c r="C29" t="str">
        <f>INPUT!E24</f>
        <v>nee</v>
      </c>
      <c r="D29" t="str">
        <f>IF(ISTEXT(C29),
IF(ISNUMBER(SEARCH("nee",UPPER($C29))),"Optie A",
IF(ISNUMBER(SEARCH("ja",UPPER($C29))),"Optie B","")))</f>
        <v>Optie A</v>
      </c>
      <c r="E29" s="14" t="s">
        <v>532</v>
      </c>
      <c r="F29">
        <v>0</v>
      </c>
      <c r="G29">
        <v>1.05</v>
      </c>
      <c r="L29" s="77">
        <f>IF(D29="","",INDEX($F29:$K29,MATCH(D29,{"Optie A";"Optie B";"Optie C";"Optie D";"Optie E";"Optie F"},0)))</f>
        <v>0</v>
      </c>
      <c r="M29" s="82">
        <f>MAX(0,((M11*$L$29-M11)*(((((M16*(M17-1))+M16)*(M18-1)+M16+(M16*(M17-1)))*(M19-1)+M16+(M16*(M17-1))+((M16*(M17-1))+M16)*(M18-1))/M16)))</f>
        <v>0</v>
      </c>
      <c r="N29" s="83">
        <f>MAX(0,((N11*$L$29-N11)*(((((N16*(N17-1))+N16)*(N18-1)+N16+(N16*(N17-1)))*(N19-1)+N16+(N16*(N17-1))+((N16*(N17-1))+N16)*(N18-1))/N16)))</f>
        <v>0</v>
      </c>
      <c r="O29" s="84">
        <f>MAX(0,((O11*$L$29-O11)*(((((O16*(O17-1))+O16)*(O18-1)+O16+(O16*(O17-1)))*(O19-1)+O16+(O16*(O17-1))+((O16*(O17-1))+O16)*(O18-1))/O16)))</f>
        <v>0</v>
      </c>
      <c r="P29" s="83">
        <f>MAX(0,((P11*$L$29-P11)*(((((P16*(P17-1))+P16)*(P18-1)+P16+(P16*(P17-1)))*(P19-1)+P16+(P16*(P17-1))+((P16*(P17-1))+P16)*(P18-1))/P16)))</f>
        <v>0</v>
      </c>
      <c r="Q29" s="83">
        <f>MAX(0,((Q11*$L$29-Q11)*(((((Q16*(Q17-1))+Q16)*(Q18-1)+Q16+(Q16*(Q17-1)))*(Q19-1)+Q16+(Q16*(Q17-1))+((Q16*(Q17-1))+Q16)*(Q18-1))/Q16)))</f>
        <v>0</v>
      </c>
      <c r="R29" s="83">
        <f>MAX(0,((R11*$L$29-R11)*(((((R16*(R17-1))+R16)*(R18-1)+R16+(R16*(R17-1)))*(R19-1)+R16+(R16*(R17-1))+((R16*(R17-1))+R16)*(R18-1))/R16)))</f>
        <v>0</v>
      </c>
      <c r="S29" s="83">
        <f>MAX(0,((S11*$L$29-S11)*(((((S16*(S17-1))+S16)*(S18-1)+S16+(S16*(S17-1)))*(S19-1)+S16+(S16*(S17-1))+((S16*(S17-1))+S16)*(S18-1))/S16)))</f>
        <v>0</v>
      </c>
      <c r="T29" s="83">
        <f>MAX(0,((T11*$L$29-T11)*(((((T16*(T17-1))+T16)*(T18-1)+T16+(T16*(T17-1)))*(T19-1)+T16+(T16*(T17-1))+((T16*(T17-1))+T16)*(T18-1))/T16)))</f>
        <v>0</v>
      </c>
      <c r="U29" s="83">
        <f>MAX(0,((U11*$L$29-U11)*(((((U16*(U17-1))+U16)*(U18-1)+U16+(U16*(U17-1)))*(U19-1)+U16+(U16*(U17-1))+((U16*(U17-1))+U16)*(U18-1))/U16)))</f>
        <v>0</v>
      </c>
      <c r="V29" s="83">
        <f>MAX(0,((V11*$L$29-V11)*(((((V16*(V17-1))+V16)*(V18-1)+V16+(V16*(V17-1)))*(V19-1)+V16+(V16*(V17-1))+((V16*(V17-1))+V16)*(V18-1))/V16)))</f>
        <v>0</v>
      </c>
      <c r="W29" s="83">
        <f>MAX(0,((W11*$L$29-W11)*(((((W16*(W17-1))+W16)*(W18-1)+W16+(W16*(W17-1)))*(W19-1)+W16+(W16*(W17-1))+((W16*(W17-1))+W16)*(W18-1))/W16)))</f>
        <v>0</v>
      </c>
      <c r="X29" s="83">
        <f>MAX(0,((X11*$L$29-X11)*(((((X16*(X17-1))+X16)*(X18-1)+X16+(X16*(X17-1)))*(X19-1)+X16+(X16*(X17-1))+((X16*(X17-1))+X16)*(X18-1))/X16)))</f>
        <v>0</v>
      </c>
      <c r="Y29" s="83">
        <f>MAX(0,((Y11*$L$29-Y11)*(((((Y16*(Y17-1))+Y16)*(Y18-1)+Y16+(Y16*(Y17-1)))*(Y19-1)+Y16+(Y16*(Y17-1))+((Y16*(Y17-1))+Y16)*(Y18-1))/Y16)))</f>
        <v>0</v>
      </c>
      <c r="Z29" s="83">
        <f>MAX(0,((Z11*$L$29-Z11)*(((((Z16*(Z17-1))+Z16)*(Z18-1)+Z16+(Z16*(Z17-1)))*(Z19-1)+Z16+(Z16*(Z17-1))+((Z16*(Z17-1))+Z16)*(Z18-1))/Z16)))</f>
        <v>0</v>
      </c>
      <c r="AA29" s="83">
        <f>MAX(0,((AA11*$L$29-AA11)*(((((AA16*(AA17-1))+AA16)*(AA18-1)+AA16+(AA16*(AA17-1)))*(AA19-1)+AA16+(AA16*(AA17-1))+((AA16*(AA17-1))+AA16)*(AA18-1))/AA16)))</f>
        <v>0</v>
      </c>
      <c r="AB29" s="83">
        <f>MAX(0,((AB11*$L$29-AB11)*(((((AB16*(AB17-1))+AB16)*(AB18-1)+AB16+(AB16*(AB17-1)))*(AB19-1)+AB16+(AB16*(AB17-1))+((AB16*(AB17-1))+AB16)*(AB18-1))/AB16)))</f>
        <v>0</v>
      </c>
      <c r="AC29" s="83">
        <f>MAX(0,((AC11*$L$29-AC11)*(((((AC16*(AC17-1))+AC16)*(AC18-1)+AC16+(AC16*(AC17-1)))*(AC19-1)+AC16+(AC16*(AC17-1))+((AC16*(AC17-1))+AC16)*(AC18-1))/AC16)))</f>
        <v>0</v>
      </c>
      <c r="AD29" s="84">
        <f>MAX(0,((AD11*$L$29-AD11)*(((((AD16*(AD17-1))+AD16)*(AD18-1)+AD16+(AD16*(AD17-1)))*(AD19-1)+AD16+(AD16*(AD17-1))+((AD16*(AD17-1))+AD16)*(AD18-1))/AD16)))</f>
        <v>0</v>
      </c>
    </row>
    <row r="30" spans="1:30">
      <c r="B30" t="s">
        <v>31</v>
      </c>
      <c r="C30" t="str">
        <f>INPUT!E25</f>
        <v>nee</v>
      </c>
      <c r="D30" t="str">
        <f t="shared" ref="D30:D38" si="1">IF(ISTEXT(C30),
IF(ISNUMBER(SEARCH("nee",UPPER($C30))),"Optie A",
IF(ISNUMBER(SEARCH("ja",UPPER($C30))),"Optie B","")))</f>
        <v>Optie A</v>
      </c>
      <c r="E30" s="14" t="s">
        <v>532</v>
      </c>
      <c r="F30">
        <v>0</v>
      </c>
      <c r="G30">
        <v>1.05</v>
      </c>
      <c r="L30" s="77">
        <f>IF(D30="","",INDEX($F30:$K30,MATCH(D30,{"Optie A";"Optie B";"Optie C";"Optie D";"Optie E";"Optie F"},0)))</f>
        <v>0</v>
      </c>
      <c r="M30" s="82">
        <f>MAX(0,((M11*$L$30-M11)*(((((M16*(M17-1))+M16)*(M18-1)+M16+(M16*(M17-1)))*(M19-1)+M16+(M16*(M17-1))+((M16*(M17-1))+M16)*(M18-1))/M16)))</f>
        <v>0</v>
      </c>
      <c r="N30" s="83">
        <f>MAX(0,((N11*$L$30-N11)*(((((N16*(N17-1))+N16)*(N18-1)+N16+(N16*(N17-1)))*(N19-1)+N16+(N16*(N17-1))+((N16*(N17-1))+N16)*(N18-1))/N16)))</f>
        <v>0</v>
      </c>
      <c r="O30" s="84">
        <f>MAX(0,((O11*$L$30-O11)*(((((O16*(O17-1))+O16)*(O18-1)+O16+(O16*(O17-1)))*(O19-1)+O16+(O16*(O17-1))+((O16*(O17-1))+O16)*(O18-1))/O16)))</f>
        <v>0</v>
      </c>
      <c r="P30" s="83">
        <f>MAX(0,((P11*$L$30-P11)*(((((P16*(P17-1))+P16)*(P18-1)+P16+(P16*(P17-1)))*(P19-1)+P16+(P16*(P17-1))+((P16*(P17-1))+P16)*(P18-1))/P16)))</f>
        <v>0</v>
      </c>
      <c r="Q30" s="83">
        <f>MAX(0,((Q11*$L$30-Q11)*(((((Q16*(Q17-1))+Q16)*(Q18-1)+Q16+(Q16*(Q17-1)))*(Q19-1)+Q16+(Q16*(Q17-1))+((Q16*(Q17-1))+Q16)*(Q18-1))/Q16)))</f>
        <v>0</v>
      </c>
      <c r="R30" s="83">
        <f>MAX(0,((R11*$L$30-R11)*(((((R16*(R17-1))+R16)*(R18-1)+R16+(R16*(R17-1)))*(R19-1)+R16+(R16*(R17-1))+((R16*(R17-1))+R16)*(R18-1))/R16)))</f>
        <v>0</v>
      </c>
      <c r="S30" s="83">
        <f>MAX(0,((S11*$L$30-S11)*(((((S16*(S17-1))+S16)*(S18-1)+S16+(S16*(S17-1)))*(S19-1)+S16+(S16*(S17-1))+((S16*(S17-1))+S16)*(S18-1))/S16)))</f>
        <v>0</v>
      </c>
      <c r="T30" s="83">
        <f>MAX(0,((T11*$L$30-T11)*(((((T16*(T17-1))+T16)*(T18-1)+T16+(T16*(T17-1)))*(T19-1)+T16+(T16*(T17-1))+((T16*(T17-1))+T16)*(T18-1))/T16)))</f>
        <v>0</v>
      </c>
      <c r="U30" s="83">
        <f>MAX(0,((U11*$L$30-U11)*(((((U16*(U17-1))+U16)*(U18-1)+U16+(U16*(U17-1)))*(U19-1)+U16+(U16*(U17-1))+((U16*(U17-1))+U16)*(U18-1))/U16)))</f>
        <v>0</v>
      </c>
      <c r="V30" s="83">
        <f>MAX(0,((V11*$L$30-V11)*(((((V16*(V17-1))+V16)*(V18-1)+V16+(V16*(V17-1)))*(V19-1)+V16+(V16*(V17-1))+((V16*(V17-1))+V16)*(V18-1))/V16)))</f>
        <v>0</v>
      </c>
      <c r="W30" s="83">
        <f>MAX(0,((W11*$L$30-W11)*(((((W16*(W17-1))+W16)*(W18-1)+W16+(W16*(W17-1)))*(W19-1)+W16+(W16*(W17-1))+((W16*(W17-1))+W16)*(W18-1))/W16)))</f>
        <v>0</v>
      </c>
      <c r="X30" s="83">
        <f>MAX(0,((X11*$L$30-X11)*(((((X16*(X17-1))+X16)*(X18-1)+X16+(X16*(X17-1)))*(X19-1)+X16+(X16*(X17-1))+((X16*(X17-1))+X16)*(X18-1))/X16)))</f>
        <v>0</v>
      </c>
      <c r="Y30" s="83">
        <f>MAX(0,((Y11*$L$30-Y11)*(((((Y16*(Y17-1))+Y16)*(Y18-1)+Y16+(Y16*(Y17-1)))*(Y19-1)+Y16+(Y16*(Y17-1))+((Y16*(Y17-1))+Y16)*(Y18-1))/Y16)))</f>
        <v>0</v>
      </c>
      <c r="Z30" s="83">
        <f>MAX(0,((Z11*$L$30-Z11)*(((((Z16*(Z17-1))+Z16)*(Z18-1)+Z16+(Z16*(Z17-1)))*(Z19-1)+Z16+(Z16*(Z17-1))+((Z16*(Z17-1))+Z16)*(Z18-1))/Z16)))</f>
        <v>0</v>
      </c>
      <c r="AA30" s="83">
        <f>MAX(0,((AA11*$L$30-AA11)*(((((AA16*(AA17-1))+AA16)*(AA18-1)+AA16+(AA16*(AA17-1)))*(AA19-1)+AA16+(AA16*(AA17-1))+((AA16*(AA17-1))+AA16)*(AA18-1))/AA16)))</f>
        <v>0</v>
      </c>
      <c r="AB30" s="83">
        <f>MAX(0,((AB11*$L$30-AB11)*(((((AB16*(AB17-1))+AB16)*(AB18-1)+AB16+(AB16*(AB17-1)))*(AB19-1)+AB16+(AB16*(AB17-1))+((AB16*(AB17-1))+AB16)*(AB18-1))/AB16)))</f>
        <v>0</v>
      </c>
      <c r="AC30" s="83">
        <f>MAX(0,((AC11*$L$30-AC11)*(((((AC16*(AC17-1))+AC16)*(AC18-1)+AC16+(AC16*(AC17-1)))*(AC19-1)+AC16+(AC16*(AC17-1))+((AC16*(AC17-1))+AC16)*(AC18-1))/AC16)))</f>
        <v>0</v>
      </c>
      <c r="AD30" s="84">
        <f>MAX(0,((AD11*$L$30-AD11)*(((((AD16*(AD17-1))+AD16)*(AD18-1)+AD16+(AD16*(AD17-1)))*(AD19-1)+AD16+(AD16*(AD17-1))+((AD16*(AD17-1))+AD16)*(AD18-1))/AD16)))</f>
        <v>0</v>
      </c>
    </row>
    <row r="31" spans="1:30">
      <c r="B31" t="s">
        <v>32</v>
      </c>
      <c r="C31" t="str">
        <f>INPUT!E26</f>
        <v>nee</v>
      </c>
      <c r="D31" t="str">
        <f t="shared" si="1"/>
        <v>Optie A</v>
      </c>
      <c r="E31" s="14" t="s">
        <v>532</v>
      </c>
      <c r="F31">
        <v>0</v>
      </c>
      <c r="G31">
        <v>1.05</v>
      </c>
      <c r="L31" s="77">
        <f>IF(D31="","",INDEX($F31:$K31,MATCH(D31,{"Optie A";"Optie B";"Optie C";"Optie D";"Optie E";"Optie F"},0)))</f>
        <v>0</v>
      </c>
      <c r="M31" s="82">
        <f>MAX(0,((M11*$L$31-M11)*(((((M16*(M17-1))+M16)*(M18-1)+M16+(M16*(M17-1)))*(M19-1)+M16+(M16*(M17-1))+((M16*(M17-1))+M16)*(M18-1))/M16)))</f>
        <v>0</v>
      </c>
      <c r="N31" s="83">
        <f>MAX(0,((N11*$L$31-N11)*(((((N16*(N17-1))+N16)*(N18-1)+N16+(N16*(N17-1)))*(N19-1)+N16+(N16*(N17-1))+((N16*(N17-1))+N16)*(N18-1))/N16)))</f>
        <v>0</v>
      </c>
      <c r="O31" s="84">
        <f>MAX(0,((O11*$L$31-O11)*(((((O16*(O17-1))+O16)*(O18-1)+O16+(O16*(O17-1)))*(O19-1)+O16+(O16*(O17-1))+((O16*(O17-1))+O16)*(O18-1))/O16)))</f>
        <v>0</v>
      </c>
      <c r="P31" s="83">
        <f>MAX(0,((P11*$L$31-P11)*(((((P16*(P17-1))+P16)*(P18-1)+P16+(P16*(P17-1)))*(P19-1)+P16+(P16*(P17-1))+((P16*(P17-1))+P16)*(P18-1))/P16)))</f>
        <v>0</v>
      </c>
      <c r="Q31" s="83">
        <f>MAX(0,((Q11*$L$31-Q11)*(((((Q16*(Q17-1))+Q16)*(Q18-1)+Q16+(Q16*(Q17-1)))*(Q19-1)+Q16+(Q16*(Q17-1))+((Q16*(Q17-1))+Q16)*(Q18-1))/Q16)))</f>
        <v>0</v>
      </c>
      <c r="R31" s="83">
        <f>MAX(0,((R11*$L$31-R11)*(((((R16*(R17-1))+R16)*(R18-1)+R16+(R16*(R17-1)))*(R19-1)+R16+(R16*(R17-1))+((R16*(R17-1))+R16)*(R18-1))/R16)))</f>
        <v>0</v>
      </c>
      <c r="S31" s="83">
        <f>MAX(0,((S11*$L$31-S11)*(((((S16*(S17-1))+S16)*(S18-1)+S16+(S16*(S17-1)))*(S19-1)+S16+(S16*(S17-1))+((S16*(S17-1))+S16)*(S18-1))/S16)))</f>
        <v>0</v>
      </c>
      <c r="T31" s="83">
        <f>MAX(0,((T11*$L$31-T11)*(((((T16*(T17-1))+T16)*(T18-1)+T16+(T16*(T17-1)))*(T19-1)+T16+(T16*(T17-1))+((T16*(T17-1))+T16)*(T18-1))/T16)))</f>
        <v>0</v>
      </c>
      <c r="U31" s="83">
        <f>MAX(0,((U11*$L$31-U11)*(((((U16*(U17-1))+U16)*(U18-1)+U16+(U16*(U17-1)))*(U19-1)+U16+(U16*(U17-1))+((U16*(U17-1))+U16)*(U18-1))/U16)))</f>
        <v>0</v>
      </c>
      <c r="V31" s="83">
        <f>MAX(0,((V11*$L$31-V11)*(((((V16*(V17-1))+V16)*(V18-1)+V16+(V16*(V17-1)))*(V19-1)+V16+(V16*(V17-1))+((V16*(V17-1))+V16)*(V18-1))/V16)))</f>
        <v>0</v>
      </c>
      <c r="W31" s="83">
        <f>MAX(0,((W11*$L$31-W11)*(((((W16*(W17-1))+W16)*(W18-1)+W16+(W16*(W17-1)))*(W19-1)+W16+(W16*(W17-1))+((W16*(W17-1))+W16)*(W18-1))/W16)))</f>
        <v>0</v>
      </c>
      <c r="X31" s="83">
        <f>MAX(0,((X11*$L$31-X11)*(((((X16*(X17-1))+X16)*(X18-1)+X16+(X16*(X17-1)))*(X19-1)+X16+(X16*(X17-1))+((X16*(X17-1))+X16)*(X18-1))/X16)))</f>
        <v>0</v>
      </c>
      <c r="Y31" s="83">
        <f>MAX(0,((Y11*$L$31-Y11)*(((((Y16*(Y17-1))+Y16)*(Y18-1)+Y16+(Y16*(Y17-1)))*(Y19-1)+Y16+(Y16*(Y17-1))+((Y16*(Y17-1))+Y16)*(Y18-1))/Y16)))</f>
        <v>0</v>
      </c>
      <c r="Z31" s="83">
        <f>MAX(0,((Z11*$L$31-Z11)*(((((Z16*(Z17-1))+Z16)*(Z18-1)+Z16+(Z16*(Z17-1)))*(Z19-1)+Z16+(Z16*(Z17-1))+((Z16*(Z17-1))+Z16)*(Z18-1))/Z16)))</f>
        <v>0</v>
      </c>
      <c r="AA31" s="83">
        <f>MAX(0,((AA11*$L$31-AA11)*(((((AA16*(AA17-1))+AA16)*(AA18-1)+AA16+(AA16*(AA17-1)))*(AA19-1)+AA16+(AA16*(AA17-1))+((AA16*(AA17-1))+AA16)*(AA18-1))/AA16)))</f>
        <v>0</v>
      </c>
      <c r="AB31" s="83">
        <f>MAX(0,((AB11*$L$31-AB11)*(((((AB16*(AB17-1))+AB16)*(AB18-1)+AB16+(AB16*(AB17-1)))*(AB19-1)+AB16+(AB16*(AB17-1))+((AB16*(AB17-1))+AB16)*(AB18-1))/AB16)))</f>
        <v>0</v>
      </c>
      <c r="AC31" s="83">
        <f>MAX(0,((AC11*$L$31-AC11)*(((((AC16*(AC17-1))+AC16)*(AC18-1)+AC16+(AC16*(AC17-1)))*(AC19-1)+AC16+(AC16*(AC17-1))+((AC16*(AC17-1))+AC16)*(AC18-1))/AC16)))</f>
        <v>0</v>
      </c>
      <c r="AD31" s="84">
        <f>MAX(0,((AD11*$L$31-AD11)*(((((AD16*(AD17-1))+AD16)*(AD18-1)+AD16+(AD16*(AD17-1)))*(AD19-1)+AD16+(AD16*(AD17-1))+((AD16*(AD17-1))+AD16)*(AD18-1))/AD16)))</f>
        <v>0</v>
      </c>
    </row>
    <row r="32" spans="1:30">
      <c r="B32" t="s">
        <v>33</v>
      </c>
      <c r="C32" t="str">
        <f>INPUT!E27</f>
        <v>nee</v>
      </c>
      <c r="D32" t="str">
        <f t="shared" si="1"/>
        <v>Optie A</v>
      </c>
      <c r="E32" s="14" t="s">
        <v>557</v>
      </c>
      <c r="F32">
        <v>0</v>
      </c>
      <c r="G32">
        <v>1.075</v>
      </c>
      <c r="L32" s="77">
        <f>IF(D32="","",INDEX($F32:$K32,MATCH(D32,{"Optie A";"Optie B";"Optie C";"Optie D";"Optie E";"Optie F"},0)))</f>
        <v>0</v>
      </c>
      <c r="M32" s="82">
        <f>MAX(0,((SUM(M11,M9)*$L$32-SUM(M11,M9))*(((((M16*(M17-1))+M16)*(M18-1)+M16+(M16*(M17-1)))*(M19-1)+M16+(M16*(M17-1))+((M16*(M17-1))+M16)*(M18-1))/M16)))</f>
        <v>0</v>
      </c>
      <c r="N32" s="83">
        <f>MAX(0,((SUM(N11,N9)*$L$32-SUM(N11,N9))*(((((N16*(N17-1))+N16)*(N18-1)+N16+(N16*(N17-1)))*(N19-1)+N16+(N16*(N17-1))+((N16*(N17-1))+N16)*(N18-1))/N16)))</f>
        <v>0</v>
      </c>
      <c r="O32" s="84">
        <f>MAX(0,((SUM(O11,O9)*$L$32-SUM(O11,O9))*(((((O16*(O17-1))+O16)*(O18-1)+O16+(O16*(O17-1)))*(O19-1)+O16+(O16*(O17-1))+((O16*(O17-1))+O16)*(O18-1))/O16)))</f>
        <v>0</v>
      </c>
      <c r="P32" s="83">
        <f>MAX(0,((SUM(P11,P9)*$L$32-SUM(P11,P9))*(((((P16*(P17-1))+P16)*(P18-1)+P16+(P16*(P17-1)))*(P19-1)+P16+(P16*(P17-1))+((P16*(P17-1))+P16)*(P18-1))/P16)))</f>
        <v>0</v>
      </c>
      <c r="Q32" s="83">
        <f>MAX(0,((SUM(Q11,Q9)*$L$32-SUM(Q11,Q9))*(((((Q16*(Q17-1))+Q16)*(Q18-1)+Q16+(Q16*(Q17-1)))*(Q19-1)+Q16+(Q16*(Q17-1))+((Q16*(Q17-1))+Q16)*(Q18-1))/Q16)))</f>
        <v>0</v>
      </c>
      <c r="R32" s="83">
        <f>MAX(0,((SUM(R11,R9)*$L$32-SUM(R11,R9))*(((((R16*(R17-1))+R16)*(R18-1)+R16+(R16*(R17-1)))*(R19-1)+R16+(R16*(R17-1))+((R16*(R17-1))+R16)*(R18-1))/R16)))</f>
        <v>0</v>
      </c>
      <c r="S32" s="83">
        <f>MAX(0,((SUM(S11,S9)*$L$32-SUM(S11,S9))*(((((S16*(S17-1))+S16)*(S18-1)+S16+(S16*(S17-1)))*(S19-1)+S16+(S16*(S17-1))+((S16*(S17-1))+S16)*(S18-1))/S16)))</f>
        <v>0</v>
      </c>
      <c r="T32" s="83">
        <f>MAX(0,((SUM(T11,T9)*$L$32-SUM(T11,T9))*(((((T16*(T17-1))+T16)*(T18-1)+T16+(T16*(T17-1)))*(T19-1)+T16+(T16*(T17-1))+((T16*(T17-1))+T16)*(T18-1))/T16)))</f>
        <v>0</v>
      </c>
      <c r="U32" s="83">
        <f>MAX(0,((SUM(U11,U9)*$L$32-SUM(U11,U9))*(((((U16*(U17-1))+U16)*(U18-1)+U16+(U16*(U17-1)))*(U19-1)+U16+(U16*(U17-1))+((U16*(U17-1))+U16)*(U18-1))/U16)))</f>
        <v>0</v>
      </c>
      <c r="V32" s="83">
        <f>MAX(0,((SUM(V11,V9)*$L$32-SUM(V11,V9))*(((((V16*(V17-1))+V16)*(V18-1)+V16+(V16*(V17-1)))*(V19-1)+V16+(V16*(V17-1))+((V16*(V17-1))+V16)*(V18-1))/V16)))</f>
        <v>0</v>
      </c>
      <c r="W32" s="83">
        <f>MAX(0,((SUM(W11,W9)*$L$32-SUM(W11,W9))*(((((W16*(W17-1))+W16)*(W18-1)+W16+(W16*(W17-1)))*(W19-1)+W16+(W16*(W17-1))+((W16*(W17-1))+W16)*(W18-1))/W16)))</f>
        <v>0</v>
      </c>
      <c r="X32" s="83">
        <f>MAX(0,((SUM(X11,X9)*$L$32-SUM(X11,X9))*(((((X16*(X17-1))+X16)*(X18-1)+X16+(X16*(X17-1)))*(X19-1)+X16+(X16*(X17-1))+((X16*(X17-1))+X16)*(X18-1))/X16)))</f>
        <v>0</v>
      </c>
      <c r="Y32" s="83">
        <f>MAX(0,((SUM(Y11,Y9)*$L$32-SUM(Y11,Y9))*(((((Y16*(Y17-1))+Y16)*(Y18-1)+Y16+(Y16*(Y17-1)))*(Y19-1)+Y16+(Y16*(Y17-1))+((Y16*(Y17-1))+Y16)*(Y18-1))/Y16)))</f>
        <v>0</v>
      </c>
      <c r="Z32" s="83">
        <f>MAX(0,((SUM(Z11,Z9)*$L$32-SUM(Z11,Z9))*(((((Z16*(Z17-1))+Z16)*(Z18-1)+Z16+(Z16*(Z17-1)))*(Z19-1)+Z16+(Z16*(Z17-1))+((Z16*(Z17-1))+Z16)*(Z18-1))/Z16)))</f>
        <v>0</v>
      </c>
      <c r="AA32" s="83">
        <f>MAX(0,((SUM(AA11,AA9)*$L$32-SUM(AA11,AA9))*(((((AA16*(AA17-1))+AA16)*(AA18-1)+AA16+(AA16*(AA17-1)))*(AA19-1)+AA16+(AA16*(AA17-1))+((AA16*(AA17-1))+AA16)*(AA18-1))/AA16)))</f>
        <v>0</v>
      </c>
      <c r="AB32" s="83">
        <f>MAX(0,((SUM(AB11,AB9)*$L$32-SUM(AB11,AB9))*(((((AB16*(AB17-1))+AB16)*(AB18-1)+AB16+(AB16*(AB17-1)))*(AB19-1)+AB16+(AB16*(AB17-1))+((AB16*(AB17-1))+AB16)*(AB18-1))/AB16)))</f>
        <v>0</v>
      </c>
      <c r="AC32" s="83">
        <f>MAX(0,((SUM(AC11,AC9)*$L$32-SUM(AC11,AC9))*(((((AC16*(AC17-1))+AC16)*(AC18-1)+AC16+(AC16*(AC17-1)))*(AC19-1)+AC16+(AC16*(AC17-1))+((AC16*(AC17-1))+AC16)*(AC18-1))/AC16)))</f>
        <v>0</v>
      </c>
      <c r="AD32" s="84">
        <f>MAX(0,((SUM(AD11,AD9)*$L$32-SUM(AD11,AD9))*(((((AD16*(AD17-1))+AD16)*(AD18-1)+AD16+(AD16*(AD17-1)))*(AD19-1)+AD16+(AD16*(AD17-1))+((AD16*(AD17-1))+AD16)*(AD18-1))/AD16)))</f>
        <v>0</v>
      </c>
    </row>
    <row r="33" spans="2:30">
      <c r="B33" t="s">
        <v>34</v>
      </c>
      <c r="C33" t="str">
        <f>INPUT!E28</f>
        <v>nee</v>
      </c>
      <c r="D33" t="str">
        <f t="shared" si="1"/>
        <v>Optie A</v>
      </c>
      <c r="E33" s="14" t="s">
        <v>558</v>
      </c>
      <c r="F33">
        <v>0</v>
      </c>
      <c r="G33">
        <v>1.02</v>
      </c>
      <c r="L33" s="77">
        <f>IF(D33="","",INDEX($F33:$K33,MATCH(D33,{"Optie A";"Optie B";"Optie C";"Optie D";"Optie E";"Optie F"},0)))</f>
        <v>0</v>
      </c>
      <c r="M33" s="82">
        <f>MAX(0,((SUM(M9,M11,M15)*$L$33-SUM(M9,M11,M15))*(((((M16*(M17-1))+M16)*(M18-1)+M16+(M16*(M17-1)))*(M19-1)+M16+(M16*(M17-1))+((M16*(M17-1))+M16)*(M18-1))/M16)))</f>
        <v>0</v>
      </c>
      <c r="N33" s="83">
        <f>MAX(0,((SUM(N9,N11,N15)*$L$33-SUM(N9,N11,N15))*(((((N16*(N17-1))+N16)*(N18-1)+N16+(N16*(N17-1)))*(N19-1)+N16+(N16*(N17-1))+((N16*(N17-1))+N16)*(N18-1))/N16)))</f>
        <v>0</v>
      </c>
      <c r="O33" s="84">
        <f>MAX(0,((SUM(O9,O11,O15)*$L$33-SUM(O9,O11,O15))*(((((O16*(O17-1))+O16)*(O18-1)+O16+(O16*(O17-1)))*(O19-1)+O16+(O16*(O17-1))+((O16*(O17-1))+O16)*(O18-1))/O16)))</f>
        <v>0</v>
      </c>
      <c r="P33" s="83">
        <f>MAX(0,((SUM(P9,P11,P15)*$L$33-SUM(P9,P11,P15))*(((((P16*(P17-1))+P16)*(P18-1)+P16+(P16*(P17-1)))*(P19-1)+P16+(P16*(P17-1))+((P16*(P17-1))+P16)*(P18-1))/P16)))</f>
        <v>0</v>
      </c>
      <c r="Q33" s="83">
        <f>MAX(0,((SUM(Q9,Q11,Q15)*$L$33-SUM(Q9,Q11,Q15))*(((((Q16*(Q17-1))+Q16)*(Q18-1)+Q16+(Q16*(Q17-1)))*(Q19-1)+Q16+(Q16*(Q17-1))+((Q16*(Q17-1))+Q16)*(Q18-1))/Q16)))</f>
        <v>0</v>
      </c>
      <c r="R33" s="83">
        <f>MAX(0,((SUM(R9,R11,R15)*$L$33-SUM(R9,R11,R15))*(((((R16*(R17-1))+R16)*(R18-1)+R16+(R16*(R17-1)))*(R19-1)+R16+(R16*(R17-1))+((R16*(R17-1))+R16)*(R18-1))/R16)))</f>
        <v>0</v>
      </c>
      <c r="S33" s="83">
        <f>MAX(0,((SUM(S9,S11,S15)*$L$33-SUM(S9,S11,S15))*(((((S16*(S17-1))+S16)*(S18-1)+S16+(S16*(S17-1)))*(S19-1)+S16+(S16*(S17-1))+((S16*(S17-1))+S16)*(S18-1))/S16)))</f>
        <v>0</v>
      </c>
      <c r="T33" s="83">
        <f>MAX(0,((SUM(T9,T11,T15)*$L$33-SUM(T9,T11,T15))*(((((T16*(T17-1))+T16)*(T18-1)+T16+(T16*(T17-1)))*(T19-1)+T16+(T16*(T17-1))+((T16*(T17-1))+T16)*(T18-1))/T16)))</f>
        <v>0</v>
      </c>
      <c r="U33" s="83">
        <f>MAX(0,((SUM(U9,U11,U15)*$L$33-SUM(U9,U11,U15))*(((((U16*(U17-1))+U16)*(U18-1)+U16+(U16*(U17-1)))*(U19-1)+U16+(U16*(U17-1))+((U16*(U17-1))+U16)*(U18-1))/U16)))</f>
        <v>0</v>
      </c>
      <c r="V33" s="83">
        <f>MAX(0,((SUM(V9,V11,V15)*$L$33-SUM(V9,V11,V15))*(((((V16*(V17-1))+V16)*(V18-1)+V16+(V16*(V17-1)))*(V19-1)+V16+(V16*(V17-1))+((V16*(V17-1))+V16)*(V18-1))/V16)))</f>
        <v>0</v>
      </c>
      <c r="W33" s="83">
        <f>MAX(0,((SUM(W9,W11,W15)*$L$33-SUM(W9,W11,W15))*(((((W16*(W17-1))+W16)*(W18-1)+W16+(W16*(W17-1)))*(W19-1)+W16+(W16*(W17-1))+((W16*(W17-1))+W16)*(W18-1))/W16)))</f>
        <v>0</v>
      </c>
      <c r="X33" s="83">
        <f>MAX(0,((SUM(X9,X11,X15)*$L$33-SUM(X9,X11,X15))*(((((X16*(X17-1))+X16)*(X18-1)+X16+(X16*(X17-1)))*(X19-1)+X16+(X16*(X17-1))+((X16*(X17-1))+X16)*(X18-1))/X16)))</f>
        <v>0</v>
      </c>
      <c r="Y33" s="83">
        <f>MAX(0,((SUM(Y9,Y11,Y15)*$L$33-SUM(Y9,Y11,Y15))*(((((Y16*(Y17-1))+Y16)*(Y18-1)+Y16+(Y16*(Y17-1)))*(Y19-1)+Y16+(Y16*(Y17-1))+((Y16*(Y17-1))+Y16)*(Y18-1))/Y16)))</f>
        <v>0</v>
      </c>
      <c r="Z33" s="83">
        <f>MAX(0,((SUM(Z9,Z11,Z15)*$L$33-SUM(Z9,Z11,Z15))*(((((Z16*(Z17-1))+Z16)*(Z18-1)+Z16+(Z16*(Z17-1)))*(Z19-1)+Z16+(Z16*(Z17-1))+((Z16*(Z17-1))+Z16)*(Z18-1))/Z16)))</f>
        <v>0</v>
      </c>
      <c r="AA33" s="83">
        <f>MAX(0,((SUM(AA9,AA11,AA15)*$L$33-SUM(AA9,AA11,AA15))*(((((AA16*(AA17-1))+AA16)*(AA18-1)+AA16+(AA16*(AA17-1)))*(AA19-1)+AA16+(AA16*(AA17-1))+((AA16*(AA17-1))+AA16)*(AA18-1))/AA16)))</f>
        <v>0</v>
      </c>
      <c r="AB33" s="83">
        <f>MAX(0,((SUM(AB9,AB11,AB15)*$L$33-SUM(AB9,AB11,AB15))*(((((AB16*(AB17-1))+AB16)*(AB18-1)+AB16+(AB16*(AB17-1)))*(AB19-1)+AB16+(AB16*(AB17-1))+((AB16*(AB17-1))+AB16)*(AB18-1))/AB16)))</f>
        <v>0</v>
      </c>
      <c r="AC33" s="83">
        <f>MAX(0,((SUM(AC9,AC11,AC15)*$L$33-SUM(AC9,AC11,AC15))*(((((AC16*(AC17-1))+AC16)*(AC18-1)+AC16+(AC16*(AC17-1)))*(AC19-1)+AC16+(AC16*(AC17-1))+((AC16*(AC17-1))+AC16)*(AC18-1))/AC16)))</f>
        <v>0</v>
      </c>
      <c r="AD33" s="84">
        <f>MAX(0,((SUM(AD9,AD11,AD15)*$L$33-SUM(AD9,AD11,AD15))*(((((AD16*(AD17-1))+AD16)*(AD18-1)+AD16+(AD16*(AD17-1)))*(AD19-1)+AD16+(AD16*(AD17-1))+((AD16*(AD17-1))+AD16)*(AD18-1))/AD16)))</f>
        <v>0</v>
      </c>
    </row>
    <row r="34" spans="2:30">
      <c r="B34" t="s">
        <v>35</v>
      </c>
      <c r="C34" t="str">
        <f>INPUT!E29</f>
        <v>nee</v>
      </c>
      <c r="D34" t="str">
        <f t="shared" si="1"/>
        <v>Optie A</v>
      </c>
      <c r="E34" s="14" t="s">
        <v>533</v>
      </c>
      <c r="F34">
        <v>0</v>
      </c>
      <c r="G34">
        <v>1.02</v>
      </c>
      <c r="L34" s="77">
        <f>IF(D34="","",INDEX($F34:$K34,MATCH(D34,{"Optie A";"Optie B";"Optie C";"Optie D";"Optie E";"Optie F"},0)))</f>
        <v>0</v>
      </c>
      <c r="M34" s="82">
        <f>MAX(0,((M12*$L$34-M12)*(((((M16*(M17-1))+M16)*(M18-1)+M16+(M16*(M17-1)))*(M19-1)+M16+(M16*(M17-1))+((M16*(M17-1))+M16)*(M18-1))/M16)))</f>
        <v>0</v>
      </c>
      <c r="N34" s="83">
        <f>MAX(0,((N12*$L$34-N12)*(((((N16*(N17-1))+N16)*(N18-1)+N16+(N16*(N17-1)))*(N19-1)+N16+(N16*(N17-1))+((N16*(N17-1))+N16)*(N18-1))/N16)))</f>
        <v>0</v>
      </c>
      <c r="O34" s="84">
        <f>MAX(0,((O12*$L$34-O12)*(((((O16*(O17-1))+O16)*(O18-1)+O16+(O16*(O17-1)))*(O19-1)+O16+(O16*(O17-1))+((O16*(O17-1))+O16)*(O18-1))/O16)))</f>
        <v>0</v>
      </c>
      <c r="P34" s="83">
        <f>MAX(0,((P12*$L$34-P12)*(((((P16*(P17-1))+P16)*(P18-1)+P16+(P16*(P17-1)))*(P19-1)+P16+(P16*(P17-1))+((P16*(P17-1))+P16)*(P18-1))/P16)))</f>
        <v>0</v>
      </c>
      <c r="Q34" s="83">
        <f>MAX(0,((Q12*$L$34-Q12)*(((((Q16*(Q17-1))+Q16)*(Q18-1)+Q16+(Q16*(Q17-1)))*(Q19-1)+Q16+(Q16*(Q17-1))+((Q16*(Q17-1))+Q16)*(Q18-1))/Q16)))</f>
        <v>0</v>
      </c>
      <c r="R34" s="83">
        <f>MAX(0,((R12*$L$34-R12)*(((((R16*(R17-1))+R16)*(R18-1)+R16+(R16*(R17-1)))*(R19-1)+R16+(R16*(R17-1))+((R16*(R17-1))+R16)*(R18-1))/R16)))</f>
        <v>0</v>
      </c>
      <c r="S34" s="83">
        <f>MAX(0,((S12*$L$34-S12)*(((((S16*(S17-1))+S16)*(S18-1)+S16+(S16*(S17-1)))*(S19-1)+S16+(S16*(S17-1))+((S16*(S17-1))+S16)*(S18-1))/S16)))</f>
        <v>0</v>
      </c>
      <c r="T34" s="83">
        <f>MAX(0,((T12*$L$34-T12)*(((((T16*(T17-1))+T16)*(T18-1)+T16+(T16*(T17-1)))*(T19-1)+T16+(T16*(T17-1))+((T16*(T17-1))+T16)*(T18-1))/T16)))</f>
        <v>0</v>
      </c>
      <c r="U34" s="83">
        <f>MAX(0,((U12*$L$34-U12)*(((((U16*(U17-1))+U16)*(U18-1)+U16+(U16*(U17-1)))*(U19-1)+U16+(U16*(U17-1))+((U16*(U17-1))+U16)*(U18-1))/U16)))</f>
        <v>0</v>
      </c>
      <c r="V34" s="83">
        <f>MAX(0,((V12*$L$34-V12)*(((((V16*(V17-1))+V16)*(V18-1)+V16+(V16*(V17-1)))*(V19-1)+V16+(V16*(V17-1))+((V16*(V17-1))+V16)*(V18-1))/V16)))</f>
        <v>0</v>
      </c>
      <c r="W34" s="83">
        <f>MAX(0,((W12*$L$34-W12)*(((((W16*(W17-1))+W16)*(W18-1)+W16+(W16*(W17-1)))*(W19-1)+W16+(W16*(W17-1))+((W16*(W17-1))+W16)*(W18-1))/W16)))</f>
        <v>0</v>
      </c>
      <c r="X34" s="83">
        <f>MAX(0,((X12*$L$34-X12)*(((((X16*(X17-1))+X16)*(X18-1)+X16+(X16*(X17-1)))*(X19-1)+X16+(X16*(X17-1))+((X16*(X17-1))+X16)*(X18-1))/X16)))</f>
        <v>0</v>
      </c>
      <c r="Y34" s="83">
        <f>MAX(0,((Y12*$L$34-Y12)*(((((Y16*(Y17-1))+Y16)*(Y18-1)+Y16+(Y16*(Y17-1)))*(Y19-1)+Y16+(Y16*(Y17-1))+((Y16*(Y17-1))+Y16)*(Y18-1))/Y16)))</f>
        <v>0</v>
      </c>
      <c r="Z34" s="83">
        <f>MAX(0,((Z12*$L$34-Z12)*(((((Z16*(Z17-1))+Z16)*(Z18-1)+Z16+(Z16*(Z17-1)))*(Z19-1)+Z16+(Z16*(Z17-1))+((Z16*(Z17-1))+Z16)*(Z18-1))/Z16)))</f>
        <v>0</v>
      </c>
      <c r="AA34" s="83">
        <f>MAX(0,((AA12*$L$34-AA12)*(((((AA16*(AA17-1))+AA16)*(AA18-1)+AA16+(AA16*(AA17-1)))*(AA19-1)+AA16+(AA16*(AA17-1))+((AA16*(AA17-1))+AA16)*(AA18-1))/AA16)))</f>
        <v>0</v>
      </c>
      <c r="AB34" s="83">
        <f>MAX(0,((AB12*$L$34-AB12)*(((((AB16*(AB17-1))+AB16)*(AB18-1)+AB16+(AB16*(AB17-1)))*(AB19-1)+AB16+(AB16*(AB17-1))+((AB16*(AB17-1))+AB16)*(AB18-1))/AB16)))</f>
        <v>0</v>
      </c>
      <c r="AC34" s="83">
        <f>MAX(0,((AC12*$L$34-AC12)*(((((AC16*(AC17-1))+AC16)*(AC18-1)+AC16+(AC16*(AC17-1)))*(AC19-1)+AC16+(AC16*(AC17-1))+((AC16*(AC17-1))+AC16)*(AC18-1))/AC16)))</f>
        <v>0</v>
      </c>
      <c r="AD34" s="84">
        <f>MAX(0,((AD12*$L$34-AD12)*(((((AD16*(AD17-1))+AD16)*(AD18-1)+AD16+(AD16*(AD17-1)))*(AD19-1)+AD16+(AD16*(AD17-1))+((AD16*(AD17-1))+AD16)*(AD18-1))/AD16)))</f>
        <v>0</v>
      </c>
    </row>
    <row r="35" spans="2:30">
      <c r="B35" t="s">
        <v>36</v>
      </c>
      <c r="C35" t="str">
        <f>INPUT!E30</f>
        <v>nee</v>
      </c>
      <c r="D35" t="str">
        <f t="shared" si="1"/>
        <v>Optie A</v>
      </c>
      <c r="E35" s="14" t="s">
        <v>559</v>
      </c>
      <c r="F35">
        <v>0</v>
      </c>
      <c r="G35">
        <v>1.1000000000000001</v>
      </c>
      <c r="L35" s="77">
        <f>IF(D35="","",INDEX($F35:$K35,MATCH(D35,{"Optie A";"Optie B";"Optie C";"Optie D";"Optie E";"Optie F"},0)))</f>
        <v>0</v>
      </c>
      <c r="M35" s="82">
        <f>MAX(0,((SUM(M12,M14)*$L$35-SUM(M12,M14))*(((((M16*(M17-1))+M16)*(M18-1)+M16+(M16*(M17-1)))*(M19-1)+M16+(M16*(M17-1))+((M16*(M17-1))+M16)*(M18-1))/M16)))</f>
        <v>0</v>
      </c>
      <c r="N35" s="83">
        <f>MAX(0,((SUM(N12,N14)*$L$35-SUM(N12,N14))*(((((N16*(N17-1))+N16)*(N18-1)+N16+(N16*(N17-1)))*(N19-1)+N16+(N16*(N17-1))+((N16*(N17-1))+N16)*(N18-1))/N16)))</f>
        <v>0</v>
      </c>
      <c r="O35" s="84">
        <f>MAX(0,((SUM(O12,O14)*$L$35-SUM(O12,O14))*(((((O16*(O17-1))+O16)*(O18-1)+O16+(O16*(O17-1)))*(O19-1)+O16+(O16*(O17-1))+((O16*(O17-1))+O16)*(O18-1))/O16)))</f>
        <v>0</v>
      </c>
      <c r="P35" s="83">
        <f>MAX(0,((SUM(P12,P14)*$L$35-SUM(P12,P14))*(((((P16*(P17-1))+P16)*(P18-1)+P16+(P16*(P17-1)))*(P19-1)+P16+(P16*(P17-1))+((P16*(P17-1))+P16)*(P18-1))/P16)))</f>
        <v>0</v>
      </c>
      <c r="Q35" s="83">
        <f>MAX(0,((SUM(Q12,Q14)*$L$35-SUM(Q12,Q14))*(((((Q16*(Q17-1))+Q16)*(Q18-1)+Q16+(Q16*(Q17-1)))*(Q19-1)+Q16+(Q16*(Q17-1))+((Q16*(Q17-1))+Q16)*(Q18-1))/Q16)))</f>
        <v>0</v>
      </c>
      <c r="R35" s="83">
        <f>MAX(0,((SUM(R12,R14)*$L$35-SUM(R12,R14))*(((((R16*(R17-1))+R16)*(R18-1)+R16+(R16*(R17-1)))*(R19-1)+R16+(R16*(R17-1))+((R16*(R17-1))+R16)*(R18-1))/R16)))</f>
        <v>0</v>
      </c>
      <c r="S35" s="83">
        <f>MAX(0,((SUM(S12,S14)*$L$35-SUM(S12,S14))*(((((S16*(S17-1))+S16)*(S18-1)+S16+(S16*(S17-1)))*(S19-1)+S16+(S16*(S17-1))+((S16*(S17-1))+S16)*(S18-1))/S16)))</f>
        <v>0</v>
      </c>
      <c r="T35" s="83">
        <f>MAX(0,((SUM(T12,T14)*$L$35-SUM(T12,T14))*(((((T16*(T17-1))+T16)*(T18-1)+T16+(T16*(T17-1)))*(T19-1)+T16+(T16*(T17-1))+((T16*(T17-1))+T16)*(T18-1))/T16)))</f>
        <v>0</v>
      </c>
      <c r="U35" s="83">
        <f>MAX(0,((SUM(U12,U14)*$L$35-SUM(U12,U14))*(((((U16*(U17-1))+U16)*(U18-1)+U16+(U16*(U17-1)))*(U19-1)+U16+(U16*(U17-1))+((U16*(U17-1))+U16)*(U18-1))/U16)))</f>
        <v>0</v>
      </c>
      <c r="V35" s="83">
        <f>MAX(0,((SUM(V12,V14)*$L$35-SUM(V12,V14))*(((((V16*(V17-1))+V16)*(V18-1)+V16+(V16*(V17-1)))*(V19-1)+V16+(V16*(V17-1))+((V16*(V17-1))+V16)*(V18-1))/V16)))</f>
        <v>0</v>
      </c>
      <c r="W35" s="83">
        <f>MAX(0,((SUM(W12,W14)*$L$35-SUM(W12,W14))*(((((W16*(W17-1))+W16)*(W18-1)+W16+(W16*(W17-1)))*(W19-1)+W16+(W16*(W17-1))+((W16*(W17-1))+W16)*(W18-1))/W16)))</f>
        <v>0</v>
      </c>
      <c r="X35" s="83">
        <f>MAX(0,((SUM(X12,X14)*$L$35-SUM(X12,X14))*(((((X16*(X17-1))+X16)*(X18-1)+X16+(X16*(X17-1)))*(X19-1)+X16+(X16*(X17-1))+((X16*(X17-1))+X16)*(X18-1))/X16)))</f>
        <v>0</v>
      </c>
      <c r="Y35" s="83">
        <f>MAX(0,((SUM(Y12,Y14)*$L$35-SUM(Y12,Y14))*(((((Y16*(Y17-1))+Y16)*(Y18-1)+Y16+(Y16*(Y17-1)))*(Y19-1)+Y16+(Y16*(Y17-1))+((Y16*(Y17-1))+Y16)*(Y18-1))/Y16)))</f>
        <v>0</v>
      </c>
      <c r="Z35" s="83">
        <f>MAX(0,((SUM(Z12,Z14)*$L$35-SUM(Z12,Z14))*(((((Z16*(Z17-1))+Z16)*(Z18-1)+Z16+(Z16*(Z17-1)))*(Z19-1)+Z16+(Z16*(Z17-1))+((Z16*(Z17-1))+Z16)*(Z18-1))/Z16)))</f>
        <v>0</v>
      </c>
      <c r="AA35" s="83">
        <f>MAX(0,((SUM(AA12,AA14)*$L$35-SUM(AA12,AA14))*(((((AA16*(AA17-1))+AA16)*(AA18-1)+AA16+(AA16*(AA17-1)))*(AA19-1)+AA16+(AA16*(AA17-1))+((AA16*(AA17-1))+AA16)*(AA18-1))/AA16)))</f>
        <v>0</v>
      </c>
      <c r="AB35" s="83">
        <f>MAX(0,((SUM(AB12,AB14)*$L$35-SUM(AB12,AB14))*(((((AB16*(AB17-1))+AB16)*(AB18-1)+AB16+(AB16*(AB17-1)))*(AB19-1)+AB16+(AB16*(AB17-1))+((AB16*(AB17-1))+AB16)*(AB18-1))/AB16)))</f>
        <v>0</v>
      </c>
      <c r="AC35" s="83">
        <f>MAX(0,((SUM(AC12,AC14)*$L$35-SUM(AC12,AC14))*(((((AC16*(AC17-1))+AC16)*(AC18-1)+AC16+(AC16*(AC17-1)))*(AC19-1)+AC16+(AC16*(AC17-1))+((AC16*(AC17-1))+AC16)*(AC18-1))/AC16)))</f>
        <v>0</v>
      </c>
      <c r="AD35" s="84">
        <f>MAX(0,((SUM(AD12,AD14)*$L$35-SUM(AD12,AD14))*(((((AD16*(AD17-1))+AD16)*(AD18-1)+AD16+(AD16*(AD17-1)))*(AD19-1)+AD16+(AD16*(AD17-1))+((AD16*(AD17-1))+AD16)*(AD18-1))/AD16)))</f>
        <v>0</v>
      </c>
    </row>
    <row r="36" spans="2:30">
      <c r="B36" t="s">
        <v>37</v>
      </c>
      <c r="C36" t="str">
        <f>INPUT!E31</f>
        <v>nee</v>
      </c>
      <c r="D36" t="str">
        <f t="shared" si="1"/>
        <v>Optie A</v>
      </c>
      <c r="E36" s="14" t="s">
        <v>559</v>
      </c>
      <c r="F36">
        <v>0</v>
      </c>
      <c r="G36">
        <v>1.1200000000000001</v>
      </c>
      <c r="L36" s="77">
        <f>IF(D36="","",INDEX($F36:$K36,MATCH(D36,{"Optie A";"Optie B";"Optie C";"Optie D";"Optie E";"Optie F"},0)))</f>
        <v>0</v>
      </c>
      <c r="M36" s="82">
        <f>MAX(0,((SUM(M12,M14)*$L$36-SUM(M12,M14))*(((((M16*(M17-1))+M16)*(M18-1)+M16+(M16*(M17-1)))*(M19-1)+M16+(M16*(M17-1))+((M16*(M17-1))+M16)*(M18-1))/M16)))</f>
        <v>0</v>
      </c>
      <c r="N36" s="83">
        <f>MAX(0,((SUM(N12,N14)*$L$36-SUM(N12,N14))*(((((N16*(N17-1))+N16)*(N18-1)+N16+(N16*(N17-1)))*(N19-1)+N16+(N16*(N17-1))+((N16*(N17-1))+N16)*(N18-1))/N16)))</f>
        <v>0</v>
      </c>
      <c r="O36" s="84">
        <f>MAX(0,((SUM(O12,O14)*$L$36-SUM(O12,O14))*(((((O16*(O17-1))+O16)*(O18-1)+O16+(O16*(O17-1)))*(O19-1)+O16+(O16*(O17-1))+((O16*(O17-1))+O16)*(O18-1))/O16)))</f>
        <v>0</v>
      </c>
      <c r="P36" s="83">
        <f>MAX(0,((SUM(P12,P14)*$L$36-SUM(P12,P14))*(((((P16*(P17-1))+P16)*(P18-1)+P16+(P16*(P17-1)))*(P19-1)+P16+(P16*(P17-1))+((P16*(P17-1))+P16)*(P18-1))/P16)))</f>
        <v>0</v>
      </c>
      <c r="Q36" s="83">
        <f>MAX(0,((SUM(Q12,Q14)*$L$36-SUM(Q12,Q14))*(((((Q16*(Q17-1))+Q16)*(Q18-1)+Q16+(Q16*(Q17-1)))*(Q19-1)+Q16+(Q16*(Q17-1))+((Q16*(Q17-1))+Q16)*(Q18-1))/Q16)))</f>
        <v>0</v>
      </c>
      <c r="R36" s="83">
        <f>MAX(0,((SUM(R12,R14)*$L$36-SUM(R12,R14))*(((((R16*(R17-1))+R16)*(R18-1)+R16+(R16*(R17-1)))*(R19-1)+R16+(R16*(R17-1))+((R16*(R17-1))+R16)*(R18-1))/R16)))</f>
        <v>0</v>
      </c>
      <c r="S36" s="83">
        <f>MAX(0,((SUM(S12,S14)*$L$36-SUM(S12,S14))*(((((S16*(S17-1))+S16)*(S18-1)+S16+(S16*(S17-1)))*(S19-1)+S16+(S16*(S17-1))+((S16*(S17-1))+S16)*(S18-1))/S16)))</f>
        <v>0</v>
      </c>
      <c r="T36" s="83">
        <f>MAX(0,((SUM(T12,T14)*$L$36-SUM(T12,T14))*(((((T16*(T17-1))+T16)*(T18-1)+T16+(T16*(T17-1)))*(T19-1)+T16+(T16*(T17-1))+((T16*(T17-1))+T16)*(T18-1))/T16)))</f>
        <v>0</v>
      </c>
      <c r="U36" s="83">
        <f>MAX(0,((SUM(U12,U14)*$L$36-SUM(U12,U14))*(((((U16*(U17-1))+U16)*(U18-1)+U16+(U16*(U17-1)))*(U19-1)+U16+(U16*(U17-1))+((U16*(U17-1))+U16)*(U18-1))/U16)))</f>
        <v>0</v>
      </c>
      <c r="V36" s="83">
        <f>MAX(0,((SUM(V12,V14)*$L$36-SUM(V12,V14))*(((((V16*(V17-1))+V16)*(V18-1)+V16+(V16*(V17-1)))*(V19-1)+V16+(V16*(V17-1))+((V16*(V17-1))+V16)*(V18-1))/V16)))</f>
        <v>0</v>
      </c>
      <c r="W36" s="83">
        <f>MAX(0,((SUM(W12,W14)*$L$36-SUM(W12,W14))*(((((W16*(W17-1))+W16)*(W18-1)+W16+(W16*(W17-1)))*(W19-1)+W16+(W16*(W17-1))+((W16*(W17-1))+W16)*(W18-1))/W16)))</f>
        <v>0</v>
      </c>
      <c r="X36" s="83">
        <f>MAX(0,((SUM(X12,X14)*$L$36-SUM(X12,X14))*(((((X16*(X17-1))+X16)*(X18-1)+X16+(X16*(X17-1)))*(X19-1)+X16+(X16*(X17-1))+((X16*(X17-1))+X16)*(X18-1))/X16)))</f>
        <v>0</v>
      </c>
      <c r="Y36" s="83">
        <f>MAX(0,((SUM(Y12,Y14)*$L$36-SUM(Y12,Y14))*(((((Y16*(Y17-1))+Y16)*(Y18-1)+Y16+(Y16*(Y17-1)))*(Y19-1)+Y16+(Y16*(Y17-1))+((Y16*(Y17-1))+Y16)*(Y18-1))/Y16)))</f>
        <v>0</v>
      </c>
      <c r="Z36" s="83">
        <f>MAX(0,((SUM(Z12,Z14)*$L$36-SUM(Z12,Z14))*(((((Z16*(Z17-1))+Z16)*(Z18-1)+Z16+(Z16*(Z17-1)))*(Z19-1)+Z16+(Z16*(Z17-1))+((Z16*(Z17-1))+Z16)*(Z18-1))/Z16)))</f>
        <v>0</v>
      </c>
      <c r="AA36" s="83">
        <f>MAX(0,((SUM(AA12,AA14)*$L$36-SUM(AA12,AA14))*(((((AA16*(AA17-1))+AA16)*(AA18-1)+AA16+(AA16*(AA17-1)))*(AA19-1)+AA16+(AA16*(AA17-1))+((AA16*(AA17-1))+AA16)*(AA18-1))/AA16)))</f>
        <v>0</v>
      </c>
      <c r="AB36" s="83">
        <f>MAX(0,((SUM(AB12,AB14)*$L$36-SUM(AB12,AB14))*(((((AB16*(AB17-1))+AB16)*(AB18-1)+AB16+(AB16*(AB17-1)))*(AB19-1)+AB16+(AB16*(AB17-1))+((AB16*(AB17-1))+AB16)*(AB18-1))/AB16)))</f>
        <v>0</v>
      </c>
      <c r="AC36" s="83">
        <f>MAX(0,((SUM(AC12,AC14)*$L$36-SUM(AC12,AC14))*(((((AC16*(AC17-1))+AC16)*(AC18-1)+AC16+(AC16*(AC17-1)))*(AC19-1)+AC16+(AC16*(AC17-1))+((AC16*(AC17-1))+AC16)*(AC18-1))/AC16)))</f>
        <v>0</v>
      </c>
      <c r="AD36" s="84">
        <f>MAX(0,((SUM(AD12,AD14)*$L$36-SUM(AD12,AD14))*(((((AD16*(AD17-1))+AD16)*(AD18-1)+AD16+(AD16*(AD17-1)))*(AD19-1)+AD16+(AD16*(AD17-1))+((AD16*(AD17-1))+AD16)*(AD18-1))/AD16)))</f>
        <v>0</v>
      </c>
    </row>
    <row r="37" spans="2:30">
      <c r="B37" t="s">
        <v>38</v>
      </c>
      <c r="C37" t="str">
        <f>INPUT!E32</f>
        <v>nee</v>
      </c>
      <c r="D37" t="str">
        <f t="shared" si="1"/>
        <v>Optie A</v>
      </c>
      <c r="E37" s="14" t="s">
        <v>560</v>
      </c>
      <c r="F37">
        <v>0</v>
      </c>
      <c r="G37">
        <v>1.0249999999999999</v>
      </c>
      <c r="L37" s="77">
        <f>IF(D37="","",INDEX($F37:$K37,MATCH(D37,{"Optie A";"Optie B";"Optie C";"Optie D";"Optie E";"Optie F"},0)))</f>
        <v>0</v>
      </c>
      <c r="M37" s="82">
        <f>MAX(0,((SUM(M15,M7,M9)*$L$37-SUM(M15,M7,M9))*(((((M16*(M17-1))+M16)*(M18-1)+M16+(M16*(M17-1)))*(M19-1)+M16+(M16*(M17-1))+((M16*(M17-1))+M16)*(M18-1))/M16)))</f>
        <v>0</v>
      </c>
      <c r="N37" s="83">
        <f>MAX(0,((SUM(N15,N7,N9)*$L$37-SUM(N15,N7,N9))*(((((N16*(N17-1))+N16)*(N18-1)+N16+(N16*(N17-1)))*(N19-1)+N16+(N16*(N17-1))+((N16*(N17-1))+N16)*(N18-1))/N16)))</f>
        <v>0</v>
      </c>
      <c r="O37" s="84">
        <f>MAX(0,((SUM(O15,O7,O9)*$L$37-SUM(O15,O7,O9))*(((((O16*(O17-1))+O16)*(O18-1)+O16+(O16*(O17-1)))*(O19-1)+O16+(O16*(O17-1))+((O16*(O17-1))+O16)*(O18-1))/O16)))</f>
        <v>0</v>
      </c>
      <c r="P37" s="83">
        <f>MAX(0,((SUM(P15,P7,P9)*$L$37-SUM(P15,P7,P9))*(((((P16*(P17-1))+P16)*(P18-1)+P16+(P16*(P17-1)))*(P19-1)+P16+(P16*(P17-1))+((P16*(P17-1))+P16)*(P18-1))/P16)))</f>
        <v>0</v>
      </c>
      <c r="Q37" s="83">
        <f>MAX(0,((SUM(Q15,Q7,Q9)*$L$37-SUM(Q15,Q7,Q9))*(((((Q16*(Q17-1))+Q16)*(Q18-1)+Q16+(Q16*(Q17-1)))*(Q19-1)+Q16+(Q16*(Q17-1))+((Q16*(Q17-1))+Q16)*(Q18-1))/Q16)))</f>
        <v>0</v>
      </c>
      <c r="R37" s="83">
        <f>MAX(0,((SUM(R15,R7,R9)*$L$37-SUM(R15,R7,R9))*(((((R16*(R17-1))+R16)*(R18-1)+R16+(R16*(R17-1)))*(R19-1)+R16+(R16*(R17-1))+((R16*(R17-1))+R16)*(R18-1))/R16)))</f>
        <v>0</v>
      </c>
      <c r="S37" s="83">
        <f>MAX(0,((SUM(S15,S7,S9)*$L$37-SUM(S15,S7,S9))*(((((S16*(S17-1))+S16)*(S18-1)+S16+(S16*(S17-1)))*(S19-1)+S16+(S16*(S17-1))+((S16*(S17-1))+S16)*(S18-1))/S16)))</f>
        <v>0</v>
      </c>
      <c r="T37" s="83">
        <f>MAX(0,((SUM(T15,T7,T9)*$L$37-SUM(T15,T7,T9))*(((((T16*(T17-1))+T16)*(T18-1)+T16+(T16*(T17-1)))*(T19-1)+T16+(T16*(T17-1))+((T16*(T17-1))+T16)*(T18-1))/T16)))</f>
        <v>0</v>
      </c>
      <c r="U37" s="83">
        <f>MAX(0,((SUM(U15,U7,U9)*$L$37-SUM(U15,U7,U9))*(((((U16*(U17-1))+U16)*(U18-1)+U16+(U16*(U17-1)))*(U19-1)+U16+(U16*(U17-1))+((U16*(U17-1))+U16)*(U18-1))/U16)))</f>
        <v>0</v>
      </c>
      <c r="V37" s="83">
        <f>MAX(0,((SUM(V15,V7,V9)*$L$37-SUM(V15,V7,V9))*(((((V16*(V17-1))+V16)*(V18-1)+V16+(V16*(V17-1)))*(V19-1)+V16+(V16*(V17-1))+((V16*(V17-1))+V16)*(V18-1))/V16)))</f>
        <v>0</v>
      </c>
      <c r="W37" s="83">
        <f>MAX(0,((SUM(W15,W7,W9)*$L$37-SUM(W15,W7,W9))*(((((W16*(W17-1))+W16)*(W18-1)+W16+(W16*(W17-1)))*(W19-1)+W16+(W16*(W17-1))+((W16*(W17-1))+W16)*(W18-1))/W16)))</f>
        <v>0</v>
      </c>
      <c r="X37" s="83">
        <f>MAX(0,((SUM(X15,X7,X9)*$L$37-SUM(X15,X7,X9))*(((((X16*(X17-1))+X16)*(X18-1)+X16+(X16*(X17-1)))*(X19-1)+X16+(X16*(X17-1))+((X16*(X17-1))+X16)*(X18-1))/X16)))</f>
        <v>0</v>
      </c>
      <c r="Y37" s="83">
        <f>MAX(0,((SUM(Y15,Y7,Y9)*$L$37-SUM(Y15,Y7,Y9))*(((((Y16*(Y17-1))+Y16)*(Y18-1)+Y16+(Y16*(Y17-1)))*(Y19-1)+Y16+(Y16*(Y17-1))+((Y16*(Y17-1))+Y16)*(Y18-1))/Y16)))</f>
        <v>0</v>
      </c>
      <c r="Z37" s="83">
        <f>MAX(0,((SUM(Z15,Z7,Z9)*$L$37-SUM(Z15,Z7,Z9))*(((((Z16*(Z17-1))+Z16)*(Z18-1)+Z16+(Z16*(Z17-1)))*(Z19-1)+Z16+(Z16*(Z17-1))+((Z16*(Z17-1))+Z16)*(Z18-1))/Z16)))</f>
        <v>0</v>
      </c>
      <c r="AA37" s="83">
        <f>MAX(0,((SUM(AA15,AA7,AA9)*$L$37-SUM(AA15,AA7,AA9))*(((((AA16*(AA17-1))+AA16)*(AA18-1)+AA16+(AA16*(AA17-1)))*(AA19-1)+AA16+(AA16*(AA17-1))+((AA16*(AA17-1))+AA16)*(AA18-1))/AA16)))</f>
        <v>0</v>
      </c>
      <c r="AB37" s="83">
        <f>MAX(0,((SUM(AB15,AB7,AB9)*$L$37-SUM(AB15,AB7,AB9))*(((((AB16*(AB17-1))+AB16)*(AB18-1)+AB16+(AB16*(AB17-1)))*(AB19-1)+AB16+(AB16*(AB17-1))+((AB16*(AB17-1))+AB16)*(AB18-1))/AB16)))</f>
        <v>0</v>
      </c>
      <c r="AC37" s="83">
        <f>MAX(0,((SUM(AC15,AC7,AC9)*$L$37-SUM(AC15,AC7,AC9))*(((((AC16*(AC17-1))+AC16)*(AC18-1)+AC16+(AC16*(AC17-1)))*(AC19-1)+AC16+(AC16*(AC17-1))+((AC16*(AC17-1))+AC16)*(AC18-1))/AC16)))</f>
        <v>0</v>
      </c>
      <c r="AD37" s="84">
        <f>MAX(0,((SUM(AD15,AD7,AD9)*$L$37-SUM(AD15,AD7,AD9))*(((((AD16*(AD17-1))+AD16)*(AD18-1)+AD16+(AD16*(AD17-1)))*(AD19-1)+AD16+(AD16*(AD17-1))+((AD16*(AD17-1))+AD16)*(AD18-1))/AD16)))</f>
        <v>0</v>
      </c>
    </row>
    <row r="38" spans="2:30" ht="15" thickBot="1">
      <c r="B38" t="s">
        <v>39</v>
      </c>
      <c r="C38" t="str">
        <f>INPUT!E33</f>
        <v>nee</v>
      </c>
      <c r="D38" t="str">
        <f t="shared" si="1"/>
        <v>Optie A</v>
      </c>
      <c r="E38" s="14" t="s">
        <v>559</v>
      </c>
      <c r="F38">
        <v>0</v>
      </c>
      <c r="G38">
        <v>1.1000000000000001</v>
      </c>
      <c r="L38" s="78">
        <f>IF(D38="","",INDEX($F38:$K38,MATCH(D38,{"Optie A";"Optie B";"Optie C";"Optie D";"Optie E";"Optie F"},0)))</f>
        <v>0</v>
      </c>
      <c r="M38" s="85">
        <f>MAX(0,((SUM(M12,M14)*$L$38-SUM(M12,M14))*(((((M16*(M17-1))+M16)*(M18-1)+M16+(M16*(M17-1)))*(M19-1)+M16+(M16*(M17-1))+((M16*(M17-1))+M16)*(M18-1))/M16)))</f>
        <v>0</v>
      </c>
      <c r="N38" s="86">
        <f>MAX(0,((SUM(N12,N14)*$L$38-SUM(N12,N14))*(((((N16*(N17-1))+N16)*(N18-1)+N16+(N16*(N17-1)))*(N19-1)+N16+(N16*(N17-1))+((N16*(N17-1))+N16)*(N18-1))/N16)))</f>
        <v>0</v>
      </c>
      <c r="O38" s="87">
        <f>MAX(0,((SUM(O12,O14)*$L$38-SUM(O12,O14))*(((((O16*(O17-1))+O16)*(O18-1)+O16+(O16*(O17-1)))*(O19-1)+O16+(O16*(O17-1))+((O16*(O17-1))+O16)*(O18-1))/O16)))</f>
        <v>0</v>
      </c>
      <c r="P38" s="86">
        <f>MAX(0,((SUM(P12,P14)*$L$38-SUM(P12,P14))*(((((P16*(P17-1))+P16)*(P18-1)+P16+(P16*(P17-1)))*(P19-1)+P16+(P16*(P17-1))+((P16*(P17-1))+P16)*(P18-1))/P16)))</f>
        <v>0</v>
      </c>
      <c r="Q38" s="86">
        <f>MAX(0,((SUM(Q12,Q14)*$L$38-SUM(Q12,Q14))*(((((Q16*(Q17-1))+Q16)*(Q18-1)+Q16+(Q16*(Q17-1)))*(Q19-1)+Q16+(Q16*(Q17-1))+((Q16*(Q17-1))+Q16)*(Q18-1))/Q16)))</f>
        <v>0</v>
      </c>
      <c r="R38" s="86">
        <f>MAX(0,((SUM(R12,R14)*$L$38-SUM(R12,R14))*(((((R16*(R17-1))+R16)*(R18-1)+R16+(R16*(R17-1)))*(R19-1)+R16+(R16*(R17-1))+((R16*(R17-1))+R16)*(R18-1))/R16)))</f>
        <v>0</v>
      </c>
      <c r="S38" s="86">
        <f>MAX(0,((SUM(S12,S14)*$L$38-SUM(S12,S14))*(((((S16*(S17-1))+S16)*(S18-1)+S16+(S16*(S17-1)))*(S19-1)+S16+(S16*(S17-1))+((S16*(S17-1))+S16)*(S18-1))/S16)))</f>
        <v>0</v>
      </c>
      <c r="T38" s="86">
        <f>MAX(0,((SUM(T12,T14)*$L$38-SUM(T12,T14))*(((((T16*(T17-1))+T16)*(T18-1)+T16+(T16*(T17-1)))*(T19-1)+T16+(T16*(T17-1))+((T16*(T17-1))+T16)*(T18-1))/T16)))</f>
        <v>0</v>
      </c>
      <c r="U38" s="86">
        <f>MAX(0,((SUM(U12,U14)*$L$38-SUM(U12,U14))*(((((U16*(U17-1))+U16)*(U18-1)+U16+(U16*(U17-1)))*(U19-1)+U16+(U16*(U17-1))+((U16*(U17-1))+U16)*(U18-1))/U16)))</f>
        <v>0</v>
      </c>
      <c r="V38" s="86">
        <f>MAX(0,((SUM(V12,V14)*$L$38-SUM(V12,V14))*(((((V16*(V17-1))+V16)*(V18-1)+V16+(V16*(V17-1)))*(V19-1)+V16+(V16*(V17-1))+((V16*(V17-1))+V16)*(V18-1))/V16)))</f>
        <v>0</v>
      </c>
      <c r="W38" s="86">
        <f>MAX(0,((SUM(W12,W14)*$L$38-SUM(W12,W14))*(((((W16*(W17-1))+W16)*(W18-1)+W16+(W16*(W17-1)))*(W19-1)+W16+(W16*(W17-1))+((W16*(W17-1))+W16)*(W18-1))/W16)))</f>
        <v>0</v>
      </c>
      <c r="X38" s="86">
        <f>MAX(0,((SUM(X12,X14)*$L$38-SUM(X12,X14))*(((((X16*(X17-1))+X16)*(X18-1)+X16+(X16*(X17-1)))*(X19-1)+X16+(X16*(X17-1))+((X16*(X17-1))+X16)*(X18-1))/X16)))</f>
        <v>0</v>
      </c>
      <c r="Y38" s="86">
        <f>MAX(0,((SUM(Y12,Y14)*$L$38-SUM(Y12,Y14))*(((((Y16*(Y17-1))+Y16)*(Y18-1)+Y16+(Y16*(Y17-1)))*(Y19-1)+Y16+(Y16*(Y17-1))+((Y16*(Y17-1))+Y16)*(Y18-1))/Y16)))</f>
        <v>0</v>
      </c>
      <c r="Z38" s="86">
        <f>MAX(0,((SUM(Z12,Z14)*$L$38-SUM(Z12,Z14))*(((((Z16*(Z17-1))+Z16)*(Z18-1)+Z16+(Z16*(Z17-1)))*(Z19-1)+Z16+(Z16*(Z17-1))+((Z16*(Z17-1))+Z16)*(Z18-1))/Z16)))</f>
        <v>0</v>
      </c>
      <c r="AA38" s="86">
        <f>MAX(0,((SUM(AA12,AA14)*$L$38-SUM(AA12,AA14))*(((((AA16*(AA17-1))+AA16)*(AA18-1)+AA16+(AA16*(AA17-1)))*(AA19-1)+AA16+(AA16*(AA17-1))+((AA16*(AA17-1))+AA16)*(AA18-1))/AA16)))</f>
        <v>0</v>
      </c>
      <c r="AB38" s="86">
        <f>MAX(0,((SUM(AB12,AB14)*$L$38-SUM(AB12,AB14))*(((((AB16*(AB17-1))+AB16)*(AB18-1)+AB16+(AB16*(AB17-1)))*(AB19-1)+AB16+(AB16*(AB17-1))+((AB16*(AB17-1))+AB16)*(AB18-1))/AB16)))</f>
        <v>0</v>
      </c>
      <c r="AC38" s="86">
        <f>MAX(0,((SUM(AC12,AC14)*$L$38-SUM(AC12,AC14))*(((((AC16*(AC17-1))+AC16)*(AC18-1)+AC16+(AC16*(AC17-1)))*(AC19-1)+AC16+(AC16*(AC17-1))+((AC16*(AC17-1))+AC16)*(AC18-1))/AC16)))</f>
        <v>0</v>
      </c>
      <c r="AD38" s="87">
        <f>MAX(0,((SUM(AD12,AD14)*$L$38-SUM(AD12,AD14))*(((((AD16*(AD17-1))+AD16)*(AD18-1)+AD16+(AD16*(AD17-1)))*(AD19-1)+AD16+(AD16*(AD17-1))+((AD16*(AD17-1))+AD16)*(AD18-1))/AD16)))</f>
        <v>0</v>
      </c>
    </row>
    <row r="39" spans="2:30" ht="15.75" customHeight="1" thickBot="1">
      <c r="M39" s="163" t="s">
        <v>513</v>
      </c>
      <c r="N39" s="164"/>
      <c r="O39" s="165"/>
      <c r="P39" s="161" t="s">
        <v>514</v>
      </c>
      <c r="Q39" s="161"/>
      <c r="R39" s="161"/>
      <c r="S39" s="161" t="s">
        <v>43</v>
      </c>
      <c r="T39" s="161"/>
      <c r="U39" s="161"/>
      <c r="V39" s="162" t="s">
        <v>515</v>
      </c>
      <c r="W39" s="162"/>
      <c r="X39" s="162"/>
      <c r="Y39" s="161" t="s">
        <v>516</v>
      </c>
      <c r="Z39" s="161"/>
      <c r="AA39" s="161"/>
      <c r="AB39" s="161" t="s">
        <v>517</v>
      </c>
      <c r="AC39" s="161"/>
      <c r="AD39" s="173"/>
    </row>
    <row r="40" spans="2:30" ht="15" thickBot="1">
      <c r="B40" s="4" t="s">
        <v>561</v>
      </c>
      <c r="C40" s="1" t="s">
        <v>543</v>
      </c>
      <c r="D40" s="1" t="s">
        <v>544</v>
      </c>
      <c r="E40" s="1" t="s">
        <v>545</v>
      </c>
      <c r="F40" s="1" t="s">
        <v>546</v>
      </c>
      <c r="G40" s="1" t="s">
        <v>547</v>
      </c>
      <c r="H40" s="1" t="s">
        <v>548</v>
      </c>
      <c r="I40" s="1" t="s">
        <v>549</v>
      </c>
      <c r="J40" s="1" t="s">
        <v>550</v>
      </c>
      <c r="K40" s="1" t="s">
        <v>551</v>
      </c>
      <c r="L40" s="76" t="s">
        <v>552</v>
      </c>
      <c r="M40" s="169"/>
      <c r="N40" s="170"/>
      <c r="O40" s="171"/>
      <c r="P40" s="64"/>
      <c r="Q40" s="65">
        <f>Q23</f>
        <v>1</v>
      </c>
      <c r="R40" s="64"/>
      <c r="S40" s="64"/>
      <c r="T40" s="65">
        <f>T23</f>
        <v>0</v>
      </c>
      <c r="U40" s="64"/>
      <c r="V40" s="64"/>
      <c r="W40" s="131">
        <f>W23</f>
        <v>0</v>
      </c>
      <c r="X40" s="131"/>
      <c r="Y40" s="131"/>
      <c r="Z40" s="131">
        <f>Z23</f>
        <v>0</v>
      </c>
      <c r="AA40" s="131"/>
      <c r="AB40" s="131"/>
      <c r="AC40" s="131">
        <f>AC23</f>
        <v>0</v>
      </c>
      <c r="AD40" s="66"/>
    </row>
    <row r="41" spans="2:30">
      <c r="B41" t="s">
        <v>20</v>
      </c>
      <c r="C41" t="str">
        <f>C24</f>
        <v>nee</v>
      </c>
      <c r="D41" t="str">
        <f t="shared" ref="D41:L41" si="2">D24</f>
        <v>Optie A</v>
      </c>
      <c r="E41" s="14" t="str">
        <f t="shared" si="2"/>
        <v>Inbouw, Terrein, Gevel</v>
      </c>
      <c r="F41">
        <f t="shared" si="2"/>
        <v>0</v>
      </c>
      <c r="G41">
        <f t="shared" si="2"/>
        <v>1.0249999999999999</v>
      </c>
      <c r="H41">
        <f t="shared" si="2"/>
        <v>0</v>
      </c>
      <c r="I41">
        <f t="shared" si="2"/>
        <v>0</v>
      </c>
      <c r="J41">
        <f t="shared" si="2"/>
        <v>0</v>
      </c>
      <c r="K41">
        <f t="shared" si="2"/>
        <v>0</v>
      </c>
      <c r="L41" s="77">
        <f t="shared" si="2"/>
        <v>0</v>
      </c>
      <c r="M41" s="79">
        <f>M24*1.18*1.21</f>
        <v>0</v>
      </c>
      <c r="N41" s="80">
        <f>N24*1.18*1.21</f>
        <v>0</v>
      </c>
      <c r="O41" s="81">
        <f>O24*1.18*1.21</f>
        <v>0</v>
      </c>
      <c r="P41" s="80">
        <f>P24*1.18*1.21</f>
        <v>0</v>
      </c>
      <c r="Q41" s="80">
        <f>Q24*1.18*1.21</f>
        <v>0</v>
      </c>
      <c r="R41" s="80">
        <f>R24*1.18*1.21</f>
        <v>0</v>
      </c>
      <c r="S41" s="80">
        <f>S24*1.18*1.21</f>
        <v>0</v>
      </c>
      <c r="T41" s="80">
        <f>T24*1.18*1.21</f>
        <v>0</v>
      </c>
      <c r="U41" s="80">
        <f>U24*1.18*1.21</f>
        <v>0</v>
      </c>
      <c r="V41" s="80">
        <f>V24*1.18*1.21</f>
        <v>0</v>
      </c>
      <c r="W41" s="80">
        <f>W24*1.18*1.21</f>
        <v>0</v>
      </c>
      <c r="X41" s="80">
        <f>X24*1.18*1.21</f>
        <v>0</v>
      </c>
      <c r="Y41" s="80">
        <f>Y24*1.18*1.21</f>
        <v>0</v>
      </c>
      <c r="Z41" s="80">
        <f>Z24*1.18*1.21</f>
        <v>0</v>
      </c>
      <c r="AA41" s="80">
        <f>AA24*1.18*1.21</f>
        <v>0</v>
      </c>
      <c r="AB41" s="80">
        <f>AB24*1.18*1.21</f>
        <v>0</v>
      </c>
      <c r="AC41" s="80">
        <f>AC24*1.18*1.21</f>
        <v>0</v>
      </c>
      <c r="AD41" s="81">
        <f>AD24*1.18*1.21</f>
        <v>0</v>
      </c>
    </row>
    <row r="42" spans="2:30">
      <c r="B42" t="s">
        <v>22</v>
      </c>
      <c r="C42" t="str">
        <f t="shared" ref="C42:L55" si="3">C25</f>
        <v>BBL</v>
      </c>
      <c r="D42" t="str">
        <f t="shared" si="3"/>
        <v>Optie A</v>
      </c>
      <c r="E42" s="14" t="str">
        <f t="shared" si="3"/>
        <v>Inbouw, Gevel, Dak, E-installatie, W-installaties</v>
      </c>
      <c r="F42">
        <f t="shared" si="3"/>
        <v>0</v>
      </c>
      <c r="G42">
        <f t="shared" si="3"/>
        <v>1.0449999999999999</v>
      </c>
      <c r="H42">
        <f t="shared" si="3"/>
        <v>1.03</v>
      </c>
      <c r="I42">
        <f t="shared" si="3"/>
        <v>1.0149999999999999</v>
      </c>
      <c r="J42">
        <f t="shared" si="3"/>
        <v>0</v>
      </c>
      <c r="K42">
        <f t="shared" si="3"/>
        <v>0</v>
      </c>
      <c r="L42" s="77">
        <f t="shared" si="3"/>
        <v>0</v>
      </c>
      <c r="M42" s="82">
        <f>M25*1.18*1.21</f>
        <v>0</v>
      </c>
      <c r="N42" s="83">
        <f>N25*1.18*1.21</f>
        <v>0</v>
      </c>
      <c r="O42" s="84">
        <f>O25*1.18*1.21</f>
        <v>0</v>
      </c>
      <c r="P42" s="83">
        <f>P25*1.18*1.21</f>
        <v>0</v>
      </c>
      <c r="Q42" s="83">
        <f>Q25*1.18*1.21</f>
        <v>0</v>
      </c>
      <c r="R42" s="83">
        <f>R25*1.18*1.21</f>
        <v>0</v>
      </c>
      <c r="S42" s="83">
        <f>S25*1.18*1.21</f>
        <v>0</v>
      </c>
      <c r="T42" s="83">
        <f>T25*1.18*1.21</f>
        <v>0</v>
      </c>
      <c r="U42" s="83">
        <f>U25*1.18*1.21</f>
        <v>0</v>
      </c>
      <c r="V42" s="83">
        <f>V25*1.18*1.21</f>
        <v>0</v>
      </c>
      <c r="W42" s="83">
        <f>W25*1.18*1.21</f>
        <v>0</v>
      </c>
      <c r="X42" s="83">
        <f>X25*1.18*1.21</f>
        <v>0</v>
      </c>
      <c r="Y42" s="83">
        <f>Y25*1.18*1.21</f>
        <v>0</v>
      </c>
      <c r="Z42" s="83">
        <f>Z25*1.18*1.21</f>
        <v>0</v>
      </c>
      <c r="AA42" s="83">
        <f>AA25*1.18*1.21</f>
        <v>0</v>
      </c>
      <c r="AB42" s="83">
        <f>AB25*1.18*1.21</f>
        <v>0</v>
      </c>
      <c r="AC42" s="83">
        <f>AC25*1.18*1.21</f>
        <v>0</v>
      </c>
      <c r="AD42" s="84">
        <f>AD25*1.18*1.21</f>
        <v>0</v>
      </c>
    </row>
    <row r="43" spans="2:30" ht="15.75" customHeight="1">
      <c r="B43" t="s">
        <v>24</v>
      </c>
      <c r="C43" t="str">
        <f t="shared" si="3"/>
        <v>BENG</v>
      </c>
      <c r="D43" t="str">
        <f t="shared" si="3"/>
        <v>Optie A</v>
      </c>
      <c r="E43" s="14" t="str">
        <f t="shared" si="3"/>
        <v>Inbouw, Gevel, Dak, E-installatie, W-installaties</v>
      </c>
      <c r="F43">
        <f t="shared" si="3"/>
        <v>0</v>
      </c>
      <c r="G43">
        <f t="shared" si="3"/>
        <v>1.1200000000000001</v>
      </c>
      <c r="H43">
        <f t="shared" si="3"/>
        <v>1.1000000000000001</v>
      </c>
      <c r="I43">
        <f t="shared" si="3"/>
        <v>1.05</v>
      </c>
      <c r="J43">
        <f t="shared" si="3"/>
        <v>1.1399999999999999</v>
      </c>
      <c r="K43">
        <f t="shared" si="3"/>
        <v>1.1499999999999999</v>
      </c>
      <c r="L43" s="77">
        <f t="shared" si="3"/>
        <v>0</v>
      </c>
      <c r="M43" s="82">
        <f>M26*1.18*1.21</f>
        <v>0</v>
      </c>
      <c r="N43" s="83">
        <f>N26*1.18*1.21</f>
        <v>0</v>
      </c>
      <c r="O43" s="84">
        <f>O26*1.18*1.21</f>
        <v>0</v>
      </c>
      <c r="P43" s="83">
        <f>P26*1.18*1.21</f>
        <v>0</v>
      </c>
      <c r="Q43" s="83">
        <f>Q26*1.18*1.21</f>
        <v>0</v>
      </c>
      <c r="R43" s="83">
        <f>R26*1.18*1.21</f>
        <v>0</v>
      </c>
      <c r="S43" s="83">
        <f>S26*1.18*1.21</f>
        <v>0</v>
      </c>
      <c r="T43" s="83">
        <f>T26*1.18*1.21</f>
        <v>0</v>
      </c>
      <c r="U43" s="83">
        <f>U26*1.18*1.21</f>
        <v>0</v>
      </c>
      <c r="V43" s="83">
        <f>V26*1.18*1.21</f>
        <v>0</v>
      </c>
      <c r="W43" s="83">
        <f>W26*1.18*1.21</f>
        <v>0</v>
      </c>
      <c r="X43" s="83">
        <f>X26*1.18*1.21</f>
        <v>0</v>
      </c>
      <c r="Y43" s="83">
        <f>Y26*1.18*1.21</f>
        <v>0</v>
      </c>
      <c r="Z43" s="83">
        <f>Z26*1.18*1.21</f>
        <v>0</v>
      </c>
      <c r="AA43" s="83">
        <f>AA26*1.18*1.21</f>
        <v>0</v>
      </c>
      <c r="AB43" s="83">
        <f>AB26*1.18*1.21</f>
        <v>0</v>
      </c>
      <c r="AC43" s="83">
        <f>AC26*1.18*1.21</f>
        <v>0</v>
      </c>
      <c r="AD43" s="84">
        <f>AD26*1.18*1.21</f>
        <v>0</v>
      </c>
    </row>
    <row r="44" spans="2:30">
      <c r="B44" t="s">
        <v>26</v>
      </c>
      <c r="C44" s="74" t="str">
        <f t="shared" si="3"/>
        <v>15%</v>
      </c>
      <c r="D44" t="str">
        <f t="shared" si="3"/>
        <v>Optie A</v>
      </c>
      <c r="E44" s="14" t="str">
        <f t="shared" si="3"/>
        <v>Bovenbouw, Gevel, Dak, Inbouw</v>
      </c>
      <c r="F44">
        <f t="shared" si="3"/>
        <v>1.01</v>
      </c>
      <c r="G44">
        <f t="shared" si="3"/>
        <v>1.02</v>
      </c>
      <c r="H44">
        <f t="shared" si="3"/>
        <v>1.03</v>
      </c>
      <c r="I44">
        <f t="shared" si="3"/>
        <v>0</v>
      </c>
      <c r="J44">
        <f t="shared" si="3"/>
        <v>0</v>
      </c>
      <c r="K44">
        <f t="shared" si="3"/>
        <v>0</v>
      </c>
      <c r="L44" s="77">
        <f t="shared" si="3"/>
        <v>1.01</v>
      </c>
      <c r="M44" s="82">
        <f>M27*1.18*1.21</f>
        <v>12.752672586114913</v>
      </c>
      <c r="N44" s="83">
        <f>N27*1.18*1.21</f>
        <v>16.443894071000003</v>
      </c>
      <c r="O44" s="84">
        <f>O27*1.18*1.21</f>
        <v>25.84720507528521</v>
      </c>
      <c r="P44" s="83">
        <f>P27*1.18*1.21</f>
        <v>12.752672586114913</v>
      </c>
      <c r="Q44" s="83">
        <f>Q27*1.18*1.21</f>
        <v>16.443894071000003</v>
      </c>
      <c r="R44" s="83">
        <f>R27*1.18*1.21</f>
        <v>25.84720507528521</v>
      </c>
      <c r="S44" s="83">
        <f>S27*1.18*1.21</f>
        <v>9.0135394589239599</v>
      </c>
      <c r="T44" s="83">
        <f>T27*1.18*1.21</f>
        <v>11.622480469599962</v>
      </c>
      <c r="U44" s="83">
        <f>U27*1.18*1.21</f>
        <v>18.268704169715875</v>
      </c>
      <c r="V44" s="83">
        <f>V27*1.18*1.21</f>
        <v>14.807957682517992</v>
      </c>
      <c r="W44" s="83">
        <f>W27*1.18*1.21</f>
        <v>19.094075057199923</v>
      </c>
      <c r="X44" s="83">
        <f>X27*1.18*1.21</f>
        <v>30.012871135962182</v>
      </c>
      <c r="Y44" s="83">
        <f>Y27*1.18*1.21</f>
        <v>0</v>
      </c>
      <c r="Z44" s="83">
        <f>Z27*1.18*1.21</f>
        <v>0</v>
      </c>
      <c r="AA44" s="83">
        <f>AA27*1.18*1.21</f>
        <v>0</v>
      </c>
      <c r="AB44" s="83">
        <f>AB27*1.18*1.21</f>
        <v>0</v>
      </c>
      <c r="AC44" s="83">
        <f>AC27*1.18*1.21</f>
        <v>0</v>
      </c>
      <c r="AD44" s="84">
        <f>AD27*1.18*1.21</f>
        <v>0</v>
      </c>
    </row>
    <row r="45" spans="2:30">
      <c r="B45" t="s">
        <v>28</v>
      </c>
      <c r="C45" s="74" t="str">
        <f t="shared" si="3"/>
        <v>30%</v>
      </c>
      <c r="D45" t="str">
        <f t="shared" si="3"/>
        <v>Optie A</v>
      </c>
      <c r="E45" s="14" t="str">
        <f t="shared" si="3"/>
        <v>Bovenbouw, Gevel, Dak, Inbouw</v>
      </c>
      <c r="F45">
        <f t="shared" si="3"/>
        <v>1.0149999999999999</v>
      </c>
      <c r="G45">
        <f t="shared" si="3"/>
        <v>1.03</v>
      </c>
      <c r="H45">
        <f t="shared" si="3"/>
        <v>1.0449999999999999</v>
      </c>
      <c r="I45">
        <f t="shared" si="3"/>
        <v>0</v>
      </c>
      <c r="J45">
        <f t="shared" si="3"/>
        <v>0</v>
      </c>
      <c r="K45">
        <f t="shared" si="3"/>
        <v>0</v>
      </c>
      <c r="L45" s="77">
        <f t="shared" si="3"/>
        <v>1.0149999999999999</v>
      </c>
      <c r="M45" s="82">
        <f>M28*1.18*1.21</f>
        <v>19.129008879172471</v>
      </c>
      <c r="N45" s="83">
        <f>N28*1.18*1.21</f>
        <v>24.665841106499801</v>
      </c>
      <c r="O45" s="84">
        <f>O28*1.18*1.21</f>
        <v>38.770807612927221</v>
      </c>
      <c r="P45" s="83">
        <f>P28*1.18*1.21</f>
        <v>19.129008879172471</v>
      </c>
      <c r="Q45" s="83">
        <f>Q28*1.18*1.21</f>
        <v>24.665841106499801</v>
      </c>
      <c r="R45" s="83">
        <f>R28*1.18*1.21</f>
        <v>38.770807612927221</v>
      </c>
      <c r="S45" s="83">
        <f>S28*1.18*1.21</f>
        <v>13.520309188385939</v>
      </c>
      <c r="T45" s="83">
        <f>T28*1.18*1.21</f>
        <v>17.433720704399843</v>
      </c>
      <c r="U45" s="83">
        <f>U28*1.18*1.21</f>
        <v>27.403056254573809</v>
      </c>
      <c r="V45" s="83">
        <f>V28*1.18*1.21</f>
        <v>22.211936523776888</v>
      </c>
      <c r="W45" s="83">
        <f>W28*1.18*1.21</f>
        <v>28.641112585799689</v>
      </c>
      <c r="X45" s="83">
        <f>X28*1.18*1.21</f>
        <v>45.019306703942874</v>
      </c>
      <c r="Y45" s="83">
        <f>Y28*1.18*1.21</f>
        <v>0</v>
      </c>
      <c r="Z45" s="83">
        <f>Z28*1.18*1.21</f>
        <v>0</v>
      </c>
      <c r="AA45" s="83">
        <f>AA28*1.18*1.21</f>
        <v>0</v>
      </c>
      <c r="AB45" s="83">
        <f>AB28*1.18*1.21</f>
        <v>0</v>
      </c>
      <c r="AC45" s="83">
        <f>AC28*1.18*1.21</f>
        <v>0</v>
      </c>
      <c r="AD45" s="84">
        <f>AD28*1.18*1.21</f>
        <v>0</v>
      </c>
    </row>
    <row r="46" spans="2:30">
      <c r="B46" t="s">
        <v>30</v>
      </c>
      <c r="C46" t="str">
        <f t="shared" si="3"/>
        <v>nee</v>
      </c>
      <c r="D46" t="str">
        <f t="shared" si="3"/>
        <v>Optie A</v>
      </c>
      <c r="E46" s="14" t="str">
        <f t="shared" si="3"/>
        <v>W-installaties</v>
      </c>
      <c r="F46">
        <f t="shared" si="3"/>
        <v>0</v>
      </c>
      <c r="G46">
        <f t="shared" si="3"/>
        <v>1.05</v>
      </c>
      <c r="H46">
        <f t="shared" si="3"/>
        <v>0</v>
      </c>
      <c r="I46">
        <f t="shared" si="3"/>
        <v>0</v>
      </c>
      <c r="J46">
        <f t="shared" si="3"/>
        <v>0</v>
      </c>
      <c r="K46">
        <f t="shared" si="3"/>
        <v>0</v>
      </c>
      <c r="L46" s="77">
        <f t="shared" si="3"/>
        <v>0</v>
      </c>
      <c r="M46" s="82">
        <f>M29*1.18*1.21</f>
        <v>0</v>
      </c>
      <c r="N46" s="83">
        <f>N29*1.18*1.21</f>
        <v>0</v>
      </c>
      <c r="O46" s="84">
        <f>O29*1.18*1.21</f>
        <v>0</v>
      </c>
      <c r="P46" s="83">
        <f>P29*1.18*1.21</f>
        <v>0</v>
      </c>
      <c r="Q46" s="83">
        <f>Q29*1.18*1.21</f>
        <v>0</v>
      </c>
      <c r="R46" s="83">
        <f>R29*1.18*1.21</f>
        <v>0</v>
      </c>
      <c r="S46" s="83">
        <f>S29*1.18*1.21</f>
        <v>0</v>
      </c>
      <c r="T46" s="83">
        <f>T29*1.18*1.21</f>
        <v>0</v>
      </c>
      <c r="U46" s="83">
        <f>U29*1.18*1.21</f>
        <v>0</v>
      </c>
      <c r="V46" s="83">
        <f>V29*1.18*1.21</f>
        <v>0</v>
      </c>
      <c r="W46" s="83">
        <f>W29*1.18*1.21</f>
        <v>0</v>
      </c>
      <c r="X46" s="83">
        <f>X29*1.18*1.21</f>
        <v>0</v>
      </c>
      <c r="Y46" s="83">
        <f>Y29*1.18*1.21</f>
        <v>0</v>
      </c>
      <c r="Z46" s="83">
        <f>Z29*1.18*1.21</f>
        <v>0</v>
      </c>
      <c r="AA46" s="83">
        <f>AA29*1.18*1.21</f>
        <v>0</v>
      </c>
      <c r="AB46" s="83">
        <f>AB29*1.18*1.21</f>
        <v>0</v>
      </c>
      <c r="AC46" s="83">
        <f>AC29*1.18*1.21</f>
        <v>0</v>
      </c>
      <c r="AD46" s="84">
        <f>AD29*1.18*1.21</f>
        <v>0</v>
      </c>
    </row>
    <row r="47" spans="2:30">
      <c r="B47" t="s">
        <v>31</v>
      </c>
      <c r="C47" t="str">
        <f t="shared" si="3"/>
        <v>nee</v>
      </c>
      <c r="D47" t="str">
        <f t="shared" si="3"/>
        <v>Optie A</v>
      </c>
      <c r="E47" s="14" t="str">
        <f t="shared" si="3"/>
        <v>W-installaties</v>
      </c>
      <c r="F47">
        <f t="shared" si="3"/>
        <v>0</v>
      </c>
      <c r="G47">
        <f t="shared" si="3"/>
        <v>1.05</v>
      </c>
      <c r="H47">
        <f t="shared" si="3"/>
        <v>0</v>
      </c>
      <c r="I47">
        <f t="shared" si="3"/>
        <v>0</v>
      </c>
      <c r="J47">
        <f t="shared" si="3"/>
        <v>0</v>
      </c>
      <c r="K47">
        <f t="shared" si="3"/>
        <v>0</v>
      </c>
      <c r="L47" s="77">
        <f t="shared" si="3"/>
        <v>0</v>
      </c>
      <c r="M47" s="82">
        <f>M30*1.18*1.21</f>
        <v>0</v>
      </c>
      <c r="N47" s="83">
        <f>N30*1.18*1.21</f>
        <v>0</v>
      </c>
      <c r="O47" s="84">
        <f>O30*1.18*1.21</f>
        <v>0</v>
      </c>
      <c r="P47" s="83">
        <f>P30*1.18*1.21</f>
        <v>0</v>
      </c>
      <c r="Q47" s="83">
        <f>Q30*1.18*1.21</f>
        <v>0</v>
      </c>
      <c r="R47" s="83">
        <f>R30*1.18*1.21</f>
        <v>0</v>
      </c>
      <c r="S47" s="83">
        <f>S30*1.18*1.21</f>
        <v>0</v>
      </c>
      <c r="T47" s="83">
        <f>T30*1.18*1.21</f>
        <v>0</v>
      </c>
      <c r="U47" s="83">
        <f>U30*1.18*1.21</f>
        <v>0</v>
      </c>
      <c r="V47" s="83">
        <f>V30*1.18*1.21</f>
        <v>0</v>
      </c>
      <c r="W47" s="83">
        <f>W30*1.18*1.21</f>
        <v>0</v>
      </c>
      <c r="X47" s="83">
        <f>X30*1.18*1.21</f>
        <v>0</v>
      </c>
      <c r="Y47" s="83">
        <f>Y30*1.18*1.21</f>
        <v>0</v>
      </c>
      <c r="Z47" s="83">
        <f>Z30*1.18*1.21</f>
        <v>0</v>
      </c>
      <c r="AA47" s="83">
        <f>AA30*1.18*1.21</f>
        <v>0</v>
      </c>
      <c r="AB47" s="83">
        <f>AB30*1.18*1.21</f>
        <v>0</v>
      </c>
      <c r="AC47" s="83">
        <f>AC30*1.18*1.21</f>
        <v>0</v>
      </c>
      <c r="AD47" s="84">
        <f>AD30*1.18*1.21</f>
        <v>0</v>
      </c>
    </row>
    <row r="48" spans="2:30">
      <c r="B48" t="s">
        <v>32</v>
      </c>
      <c r="C48" t="str">
        <f t="shared" si="3"/>
        <v>nee</v>
      </c>
      <c r="D48" t="str">
        <f t="shared" si="3"/>
        <v>Optie A</v>
      </c>
      <c r="E48" s="14" t="str">
        <f t="shared" si="3"/>
        <v>W-installaties</v>
      </c>
      <c r="F48">
        <f t="shared" si="3"/>
        <v>0</v>
      </c>
      <c r="G48">
        <f t="shared" si="3"/>
        <v>1.05</v>
      </c>
      <c r="H48">
        <f t="shared" si="3"/>
        <v>0</v>
      </c>
      <c r="I48">
        <f t="shared" si="3"/>
        <v>0</v>
      </c>
      <c r="J48">
        <f t="shared" si="3"/>
        <v>0</v>
      </c>
      <c r="K48">
        <f t="shared" si="3"/>
        <v>0</v>
      </c>
      <c r="L48" s="77">
        <f t="shared" si="3"/>
        <v>0</v>
      </c>
      <c r="M48" s="82">
        <f>M31*1.18*1.21</f>
        <v>0</v>
      </c>
      <c r="N48" s="83">
        <f>N31*1.18*1.21</f>
        <v>0</v>
      </c>
      <c r="O48" s="84">
        <f>O31*1.18*1.21</f>
        <v>0</v>
      </c>
      <c r="P48" s="83">
        <f>P31*1.18*1.21</f>
        <v>0</v>
      </c>
      <c r="Q48" s="83">
        <f>Q31*1.18*1.21</f>
        <v>0</v>
      </c>
      <c r="R48" s="83">
        <f>R31*1.18*1.21</f>
        <v>0</v>
      </c>
      <c r="S48" s="83">
        <f>S31*1.18*1.21</f>
        <v>0</v>
      </c>
      <c r="T48" s="83">
        <f>T31*1.18*1.21</f>
        <v>0</v>
      </c>
      <c r="U48" s="83">
        <f>U31*1.18*1.21</f>
        <v>0</v>
      </c>
      <c r="V48" s="83">
        <f>V31*1.18*1.21</f>
        <v>0</v>
      </c>
      <c r="W48" s="83">
        <f>W31*1.18*1.21</f>
        <v>0</v>
      </c>
      <c r="X48" s="83">
        <f>X31*1.18*1.21</f>
        <v>0</v>
      </c>
      <c r="Y48" s="83">
        <f>Y31*1.18*1.21</f>
        <v>0</v>
      </c>
      <c r="Z48" s="83">
        <f>Z31*1.18*1.21</f>
        <v>0</v>
      </c>
      <c r="AA48" s="83">
        <f>AA31*1.18*1.21</f>
        <v>0</v>
      </c>
      <c r="AB48" s="83">
        <f>AB31*1.18*1.21</f>
        <v>0</v>
      </c>
      <c r="AC48" s="83">
        <f>AC31*1.18*1.21</f>
        <v>0</v>
      </c>
      <c r="AD48" s="84">
        <f>AD31*1.18*1.21</f>
        <v>0</v>
      </c>
    </row>
    <row r="49" spans="2:30">
      <c r="B49" t="s">
        <v>33</v>
      </c>
      <c r="C49" t="str">
        <f t="shared" si="3"/>
        <v>nee</v>
      </c>
      <c r="D49" t="str">
        <f t="shared" si="3"/>
        <v>Optie A</v>
      </c>
      <c r="E49" s="14" t="str">
        <f t="shared" si="3"/>
        <v>Dak, W-installaties</v>
      </c>
      <c r="F49">
        <f t="shared" si="3"/>
        <v>0</v>
      </c>
      <c r="G49">
        <f t="shared" si="3"/>
        <v>1.075</v>
      </c>
      <c r="H49">
        <f t="shared" si="3"/>
        <v>0</v>
      </c>
      <c r="I49">
        <f t="shared" si="3"/>
        <v>0</v>
      </c>
      <c r="J49">
        <f t="shared" si="3"/>
        <v>0</v>
      </c>
      <c r="K49">
        <f t="shared" si="3"/>
        <v>0</v>
      </c>
      <c r="L49" s="77">
        <f t="shared" si="3"/>
        <v>0</v>
      </c>
      <c r="M49" s="82">
        <f>M32*1.18*1.21</f>
        <v>0</v>
      </c>
      <c r="N49" s="83">
        <f>N32*1.18*1.21</f>
        <v>0</v>
      </c>
      <c r="O49" s="84">
        <f>O32*1.18*1.21</f>
        <v>0</v>
      </c>
      <c r="P49" s="83">
        <f>P32*1.18*1.21</f>
        <v>0</v>
      </c>
      <c r="Q49" s="83">
        <f>Q32*1.18*1.21</f>
        <v>0</v>
      </c>
      <c r="R49" s="83">
        <f>R32*1.18*1.21</f>
        <v>0</v>
      </c>
      <c r="S49" s="83">
        <f>S32*1.18*1.21</f>
        <v>0</v>
      </c>
      <c r="T49" s="83">
        <f>T32*1.18*1.21</f>
        <v>0</v>
      </c>
      <c r="U49" s="83">
        <f>U32*1.18*1.21</f>
        <v>0</v>
      </c>
      <c r="V49" s="83">
        <f>V32*1.18*1.21</f>
        <v>0</v>
      </c>
      <c r="W49" s="83">
        <f>W32*1.18*1.21</f>
        <v>0</v>
      </c>
      <c r="X49" s="83">
        <f>X32*1.18*1.21</f>
        <v>0</v>
      </c>
      <c r="Y49" s="83">
        <f>Y32*1.18*1.21</f>
        <v>0</v>
      </c>
      <c r="Z49" s="83">
        <f>Z32*1.18*1.21</f>
        <v>0</v>
      </c>
      <c r="AA49" s="83">
        <f>AA32*1.18*1.21</f>
        <v>0</v>
      </c>
      <c r="AB49" s="83">
        <f>AB32*1.18*1.21</f>
        <v>0</v>
      </c>
      <c r="AC49" s="83">
        <f>AC32*1.18*1.21</f>
        <v>0</v>
      </c>
      <c r="AD49" s="84">
        <f>AD32*1.18*1.21</f>
        <v>0</v>
      </c>
    </row>
    <row r="50" spans="2:30">
      <c r="B50" t="s">
        <v>34</v>
      </c>
      <c r="C50" t="str">
        <f t="shared" si="3"/>
        <v>nee</v>
      </c>
      <c r="D50" t="str">
        <f t="shared" si="3"/>
        <v>Optie A</v>
      </c>
      <c r="E50" s="14" t="str">
        <f t="shared" si="3"/>
        <v>Dak, W-installaties, Terrein</v>
      </c>
      <c r="F50">
        <f t="shared" si="3"/>
        <v>0</v>
      </c>
      <c r="G50">
        <f t="shared" si="3"/>
        <v>1.02</v>
      </c>
      <c r="H50">
        <f t="shared" si="3"/>
        <v>0</v>
      </c>
      <c r="I50">
        <f t="shared" si="3"/>
        <v>0</v>
      </c>
      <c r="J50">
        <f t="shared" si="3"/>
        <v>0</v>
      </c>
      <c r="K50">
        <f t="shared" si="3"/>
        <v>0</v>
      </c>
      <c r="L50" s="77">
        <f t="shared" si="3"/>
        <v>0</v>
      </c>
      <c r="M50" s="82">
        <f>M33*1.18*1.21</f>
        <v>0</v>
      </c>
      <c r="N50" s="83">
        <f>N33*1.18*1.21</f>
        <v>0</v>
      </c>
      <c r="O50" s="84">
        <f>O33*1.18*1.21</f>
        <v>0</v>
      </c>
      <c r="P50" s="83">
        <f>P33*1.18*1.21</f>
        <v>0</v>
      </c>
      <c r="Q50" s="83">
        <f>Q33*1.18*1.21</f>
        <v>0</v>
      </c>
      <c r="R50" s="83">
        <f>R33*1.18*1.21</f>
        <v>0</v>
      </c>
      <c r="S50" s="83">
        <f>S33*1.18*1.21</f>
        <v>0</v>
      </c>
      <c r="T50" s="83">
        <f>T33*1.18*1.21</f>
        <v>0</v>
      </c>
      <c r="U50" s="83">
        <f>U33*1.18*1.21</f>
        <v>0</v>
      </c>
      <c r="V50" s="83">
        <f>V33*1.18*1.21</f>
        <v>0</v>
      </c>
      <c r="W50" s="83">
        <f>W33*1.18*1.21</f>
        <v>0</v>
      </c>
      <c r="X50" s="83">
        <f>X33*1.18*1.21</f>
        <v>0</v>
      </c>
      <c r="Y50" s="83">
        <f>Y33*1.18*1.21</f>
        <v>0</v>
      </c>
      <c r="Z50" s="83">
        <f>Z33*1.18*1.21</f>
        <v>0</v>
      </c>
      <c r="AA50" s="83">
        <f>AA33*1.18*1.21</f>
        <v>0</v>
      </c>
      <c r="AB50" s="83">
        <f>AB33*1.18*1.21</f>
        <v>0</v>
      </c>
      <c r="AC50" s="83">
        <f>AC33*1.18*1.21</f>
        <v>0</v>
      </c>
      <c r="AD50" s="84">
        <f>AD33*1.18*1.21</f>
        <v>0</v>
      </c>
    </row>
    <row r="51" spans="2:30">
      <c r="B51" t="s">
        <v>35</v>
      </c>
      <c r="C51" t="str">
        <f t="shared" si="3"/>
        <v>nee</v>
      </c>
      <c r="D51" t="str">
        <f t="shared" si="3"/>
        <v>Optie A</v>
      </c>
      <c r="E51" s="14" t="str">
        <f t="shared" si="3"/>
        <v>E-installaties</v>
      </c>
      <c r="F51">
        <f t="shared" si="3"/>
        <v>0</v>
      </c>
      <c r="G51">
        <f t="shared" si="3"/>
        <v>1.02</v>
      </c>
      <c r="H51">
        <f t="shared" si="3"/>
        <v>0</v>
      </c>
      <c r="I51">
        <f t="shared" si="3"/>
        <v>0</v>
      </c>
      <c r="J51">
        <f t="shared" si="3"/>
        <v>0</v>
      </c>
      <c r="K51">
        <f t="shared" si="3"/>
        <v>0</v>
      </c>
      <c r="L51" s="77">
        <f t="shared" si="3"/>
        <v>0</v>
      </c>
      <c r="M51" s="82">
        <f>M34*1.18*1.21</f>
        <v>0</v>
      </c>
      <c r="N51" s="83">
        <f>N34*1.18*1.21</f>
        <v>0</v>
      </c>
      <c r="O51" s="84">
        <f>O34*1.18*1.21</f>
        <v>0</v>
      </c>
      <c r="P51" s="83">
        <f>P34*1.18*1.21</f>
        <v>0</v>
      </c>
      <c r="Q51" s="83">
        <f>Q34*1.18*1.21</f>
        <v>0</v>
      </c>
      <c r="R51" s="83">
        <f>R34*1.18*1.21</f>
        <v>0</v>
      </c>
      <c r="S51" s="83">
        <f>S34*1.18*1.21</f>
        <v>0</v>
      </c>
      <c r="T51" s="83">
        <f>T34*1.18*1.21</f>
        <v>0</v>
      </c>
      <c r="U51" s="83">
        <f>U34*1.18*1.21</f>
        <v>0</v>
      </c>
      <c r="V51" s="83">
        <f>V34*1.18*1.21</f>
        <v>0</v>
      </c>
      <c r="W51" s="83">
        <f>W34*1.18*1.21</f>
        <v>0</v>
      </c>
      <c r="X51" s="83">
        <f>X34*1.18*1.21</f>
        <v>0</v>
      </c>
      <c r="Y51" s="83">
        <f>Y34*1.18*1.21</f>
        <v>0</v>
      </c>
      <c r="Z51" s="83">
        <f>Z34*1.18*1.21</f>
        <v>0</v>
      </c>
      <c r="AA51" s="83">
        <f>AA34*1.18*1.21</f>
        <v>0</v>
      </c>
      <c r="AB51" s="83">
        <f>AB34*1.18*1.21</f>
        <v>0</v>
      </c>
      <c r="AC51" s="83">
        <f>AC34*1.18*1.21</f>
        <v>0</v>
      </c>
      <c r="AD51" s="84">
        <f>AD34*1.18*1.21</f>
        <v>0</v>
      </c>
    </row>
    <row r="52" spans="2:30">
      <c r="B52" t="s">
        <v>36</v>
      </c>
      <c r="C52" t="str">
        <f t="shared" si="3"/>
        <v>nee</v>
      </c>
      <c r="D52" t="str">
        <f t="shared" si="3"/>
        <v>Optie A</v>
      </c>
      <c r="E52" s="14" t="str">
        <f t="shared" si="3"/>
        <v>E-installaties, vaste inrichting</v>
      </c>
      <c r="F52">
        <f t="shared" si="3"/>
        <v>0</v>
      </c>
      <c r="G52">
        <f t="shared" si="3"/>
        <v>1.1000000000000001</v>
      </c>
      <c r="H52">
        <f t="shared" si="3"/>
        <v>0</v>
      </c>
      <c r="I52">
        <f t="shared" si="3"/>
        <v>0</v>
      </c>
      <c r="J52">
        <f t="shared" si="3"/>
        <v>0</v>
      </c>
      <c r="K52">
        <f t="shared" si="3"/>
        <v>0</v>
      </c>
      <c r="L52" s="77">
        <f t="shared" si="3"/>
        <v>0</v>
      </c>
      <c r="M52" s="82">
        <f>M35*1.18*1.21</f>
        <v>0</v>
      </c>
      <c r="N52" s="83">
        <f>N35*1.18*1.21</f>
        <v>0</v>
      </c>
      <c r="O52" s="84">
        <f>O35*1.18*1.21</f>
        <v>0</v>
      </c>
      <c r="P52" s="83">
        <f>P35*1.18*1.21</f>
        <v>0</v>
      </c>
      <c r="Q52" s="83">
        <f>Q35*1.18*1.21</f>
        <v>0</v>
      </c>
      <c r="R52" s="83">
        <f>R35*1.18*1.21</f>
        <v>0</v>
      </c>
      <c r="S52" s="83">
        <f>S35*1.18*1.21</f>
        <v>0</v>
      </c>
      <c r="T52" s="83">
        <f>T35*1.18*1.21</f>
        <v>0</v>
      </c>
      <c r="U52" s="83">
        <f>U35*1.18*1.21</f>
        <v>0</v>
      </c>
      <c r="V52" s="83">
        <f>V35*1.18*1.21</f>
        <v>0</v>
      </c>
      <c r="W52" s="83">
        <f>W35*1.18*1.21</f>
        <v>0</v>
      </c>
      <c r="X52" s="83">
        <f>X35*1.18*1.21</f>
        <v>0</v>
      </c>
      <c r="Y52" s="83">
        <f>Y35*1.18*1.21</f>
        <v>0</v>
      </c>
      <c r="Z52" s="83">
        <f>Z35*1.18*1.21</f>
        <v>0</v>
      </c>
      <c r="AA52" s="83">
        <f>AA35*1.18*1.21</f>
        <v>0</v>
      </c>
      <c r="AB52" s="83">
        <f>AB35*1.18*1.21</f>
        <v>0</v>
      </c>
      <c r="AC52" s="83">
        <f>AC35*1.18*1.21</f>
        <v>0</v>
      </c>
      <c r="AD52" s="84">
        <f>AD35*1.18*1.21</f>
        <v>0</v>
      </c>
    </row>
    <row r="53" spans="2:30">
      <c r="B53" t="s">
        <v>37</v>
      </c>
      <c r="C53" t="str">
        <f t="shared" si="3"/>
        <v>nee</v>
      </c>
      <c r="D53" t="str">
        <f t="shared" si="3"/>
        <v>Optie A</v>
      </c>
      <c r="E53" s="14" t="str">
        <f t="shared" si="3"/>
        <v>E-installaties, vaste inrichting</v>
      </c>
      <c r="F53">
        <f t="shared" si="3"/>
        <v>0</v>
      </c>
      <c r="G53">
        <f t="shared" si="3"/>
        <v>1.1200000000000001</v>
      </c>
      <c r="H53">
        <f t="shared" si="3"/>
        <v>0</v>
      </c>
      <c r="I53">
        <f t="shared" si="3"/>
        <v>0</v>
      </c>
      <c r="J53">
        <f t="shared" si="3"/>
        <v>0</v>
      </c>
      <c r="K53">
        <f t="shared" si="3"/>
        <v>0</v>
      </c>
      <c r="L53" s="77">
        <f t="shared" si="3"/>
        <v>0</v>
      </c>
      <c r="M53" s="82">
        <f>M36*1.18*1.21</f>
        <v>0</v>
      </c>
      <c r="N53" s="83">
        <f>N36*1.18*1.21</f>
        <v>0</v>
      </c>
      <c r="O53" s="84">
        <f>O36*1.18*1.21</f>
        <v>0</v>
      </c>
      <c r="P53" s="83">
        <f>P36*1.18*1.21</f>
        <v>0</v>
      </c>
      <c r="Q53" s="83">
        <f>Q36*1.18*1.21</f>
        <v>0</v>
      </c>
      <c r="R53" s="83">
        <f>R36*1.18*1.21</f>
        <v>0</v>
      </c>
      <c r="S53" s="83">
        <f>S36*1.18*1.21</f>
        <v>0</v>
      </c>
      <c r="T53" s="83">
        <f>T36*1.18*1.21</f>
        <v>0</v>
      </c>
      <c r="U53" s="83">
        <f>U36*1.18*1.21</f>
        <v>0</v>
      </c>
      <c r="V53" s="83">
        <f>V36*1.18*1.21</f>
        <v>0</v>
      </c>
      <c r="W53" s="83">
        <f>W36*1.18*1.21</f>
        <v>0</v>
      </c>
      <c r="X53" s="83">
        <f>X36*1.18*1.21</f>
        <v>0</v>
      </c>
      <c r="Y53" s="83">
        <f>Y36*1.18*1.21</f>
        <v>0</v>
      </c>
      <c r="Z53" s="83">
        <f>Z36*1.18*1.21</f>
        <v>0</v>
      </c>
      <c r="AA53" s="83">
        <f>AA36*1.18*1.21</f>
        <v>0</v>
      </c>
      <c r="AB53" s="83">
        <f>AB36*1.18*1.21</f>
        <v>0</v>
      </c>
      <c r="AC53" s="83">
        <f>AC36*1.18*1.21</f>
        <v>0</v>
      </c>
      <c r="AD53" s="84">
        <f>AD36*1.18*1.21</f>
        <v>0</v>
      </c>
    </row>
    <row r="54" spans="2:30">
      <c r="B54" t="s">
        <v>38</v>
      </c>
      <c r="C54" t="str">
        <f t="shared" si="3"/>
        <v>nee</v>
      </c>
      <c r="D54" t="str">
        <f t="shared" si="3"/>
        <v>Optie A</v>
      </c>
      <c r="E54" s="14" t="str">
        <f t="shared" si="3"/>
        <v>Terrein, Gevel, Dak</v>
      </c>
      <c r="F54">
        <f t="shared" si="3"/>
        <v>0</v>
      </c>
      <c r="G54">
        <f t="shared" si="3"/>
        <v>1.0249999999999999</v>
      </c>
      <c r="H54">
        <f t="shared" si="3"/>
        <v>0</v>
      </c>
      <c r="I54">
        <f t="shared" si="3"/>
        <v>0</v>
      </c>
      <c r="J54">
        <f t="shared" si="3"/>
        <v>0</v>
      </c>
      <c r="K54">
        <f t="shared" si="3"/>
        <v>0</v>
      </c>
      <c r="L54" s="77">
        <f t="shared" si="3"/>
        <v>0</v>
      </c>
      <c r="M54" s="82">
        <f>M37*1.18*1.21</f>
        <v>0</v>
      </c>
      <c r="N54" s="83">
        <f>N37*1.18*1.21</f>
        <v>0</v>
      </c>
      <c r="O54" s="84">
        <f>O37*1.18*1.21</f>
        <v>0</v>
      </c>
      <c r="P54" s="83">
        <f>P37*1.18*1.21</f>
        <v>0</v>
      </c>
      <c r="Q54" s="83">
        <f>Q37*1.18*1.21</f>
        <v>0</v>
      </c>
      <c r="R54" s="83">
        <f>R37*1.18*1.21</f>
        <v>0</v>
      </c>
      <c r="S54" s="83">
        <f>S37*1.18*1.21</f>
        <v>0</v>
      </c>
      <c r="T54" s="83">
        <f>T37*1.18*1.21</f>
        <v>0</v>
      </c>
      <c r="U54" s="83">
        <f>U37*1.18*1.21</f>
        <v>0</v>
      </c>
      <c r="V54" s="83">
        <f>V37*1.18*1.21</f>
        <v>0</v>
      </c>
      <c r="W54" s="83">
        <f>W37*1.18*1.21</f>
        <v>0</v>
      </c>
      <c r="X54" s="83">
        <f>X37*1.18*1.21</f>
        <v>0</v>
      </c>
      <c r="Y54" s="83">
        <f>Y37*1.18*1.21</f>
        <v>0</v>
      </c>
      <c r="Z54" s="83">
        <f>Z37*1.18*1.21</f>
        <v>0</v>
      </c>
      <c r="AA54" s="83">
        <f>AA37*1.18*1.21</f>
        <v>0</v>
      </c>
      <c r="AB54" s="83">
        <f>AB37*1.18*1.21</f>
        <v>0</v>
      </c>
      <c r="AC54" s="83">
        <f>AC37*1.18*1.21</f>
        <v>0</v>
      </c>
      <c r="AD54" s="84">
        <f>AD37*1.18*1.21</f>
        <v>0</v>
      </c>
    </row>
    <row r="55" spans="2:30" ht="15" thickBot="1">
      <c r="B55" t="s">
        <v>39</v>
      </c>
      <c r="C55" t="str">
        <f t="shared" si="3"/>
        <v>nee</v>
      </c>
      <c r="D55" t="str">
        <f t="shared" si="3"/>
        <v>Optie A</v>
      </c>
      <c r="E55" s="14" t="str">
        <f t="shared" si="3"/>
        <v>E-installaties, vaste inrichting</v>
      </c>
      <c r="F55">
        <f t="shared" si="3"/>
        <v>0</v>
      </c>
      <c r="G55">
        <f t="shared" si="3"/>
        <v>1.1000000000000001</v>
      </c>
      <c r="H55">
        <f t="shared" si="3"/>
        <v>0</v>
      </c>
      <c r="I55">
        <f t="shared" si="3"/>
        <v>0</v>
      </c>
      <c r="J55">
        <f t="shared" si="3"/>
        <v>0</v>
      </c>
      <c r="K55">
        <f t="shared" si="3"/>
        <v>0</v>
      </c>
      <c r="L55" s="78">
        <f t="shared" si="3"/>
        <v>0</v>
      </c>
      <c r="M55" s="85">
        <f>M38*1.18*1.21</f>
        <v>0</v>
      </c>
      <c r="N55" s="86">
        <f>N38*1.18*1.21</f>
        <v>0</v>
      </c>
      <c r="O55" s="87">
        <f>O38*1.18*1.21</f>
        <v>0</v>
      </c>
      <c r="P55" s="86">
        <f>P38*1.18*1.21</f>
        <v>0</v>
      </c>
      <c r="Q55" s="86">
        <f>Q38*1.18*1.21</f>
        <v>0</v>
      </c>
      <c r="R55" s="86">
        <f>R38*1.18*1.21</f>
        <v>0</v>
      </c>
      <c r="S55" s="86">
        <f>S38*1.18*1.21</f>
        <v>0</v>
      </c>
      <c r="T55" s="86">
        <f>T38*1.18*1.21</f>
        <v>0</v>
      </c>
      <c r="U55" s="86">
        <f>U38*1.18*1.21</f>
        <v>0</v>
      </c>
      <c r="V55" s="86">
        <f>V38*1.18*1.21</f>
        <v>0</v>
      </c>
      <c r="W55" s="86">
        <f>W38*1.18*1.21</f>
        <v>0</v>
      </c>
      <c r="X55" s="86">
        <f>X38*1.18*1.21</f>
        <v>0</v>
      </c>
      <c r="Y55" s="86">
        <f>Y38*1.18*1.21</f>
        <v>0</v>
      </c>
      <c r="Z55" s="86">
        <f>Z38*1.18*1.21</f>
        <v>0</v>
      </c>
      <c r="AA55" s="86">
        <f>AA38*1.18*1.21</f>
        <v>0</v>
      </c>
      <c r="AB55" s="86">
        <f>AB38*1.18*1.21</f>
        <v>0</v>
      </c>
      <c r="AC55" s="86">
        <f>AC38*1.18*1.21</f>
        <v>0</v>
      </c>
      <c r="AD55" s="87">
        <f>AD38*1.18*1.21</f>
        <v>0</v>
      </c>
    </row>
    <row r="58" spans="2:30" ht="15" thickBot="1"/>
    <row r="59" spans="2:30">
      <c r="M59" s="163" t="s">
        <v>513</v>
      </c>
      <c r="N59" s="164"/>
      <c r="O59" s="165"/>
      <c r="P59" s="161" t="s">
        <v>514</v>
      </c>
      <c r="Q59" s="161"/>
      <c r="R59" s="161"/>
      <c r="S59" s="161" t="s">
        <v>43</v>
      </c>
      <c r="T59" s="161"/>
      <c r="U59" s="161"/>
      <c r="V59" s="162" t="s">
        <v>515</v>
      </c>
      <c r="W59" s="162"/>
      <c r="X59" s="162"/>
      <c r="Y59" s="161" t="s">
        <v>516</v>
      </c>
      <c r="Z59" s="161"/>
      <c r="AA59" s="161"/>
      <c r="AB59" s="161" t="s">
        <v>517</v>
      </c>
      <c r="AC59" s="161"/>
      <c r="AD59" s="173"/>
    </row>
    <row r="60" spans="2:30" ht="15" thickBot="1">
      <c r="B60" s="1" t="s">
        <v>562</v>
      </c>
      <c r="M60" s="166"/>
      <c r="N60" s="167"/>
      <c r="O60" s="168"/>
      <c r="P60" s="88"/>
      <c r="Q60" s="89">
        <v>0.8</v>
      </c>
      <c r="R60" s="88"/>
      <c r="S60" s="88"/>
      <c r="T60" s="89">
        <v>0.2</v>
      </c>
      <c r="U60" s="88"/>
      <c r="V60" s="88"/>
      <c r="W60" s="88">
        <v>0</v>
      </c>
      <c r="X60" s="88"/>
      <c r="Y60" s="88"/>
      <c r="Z60" s="88"/>
      <c r="AA60" s="88"/>
      <c r="AB60" s="88"/>
      <c r="AC60" s="88"/>
      <c r="AD60" s="90"/>
    </row>
    <row r="61" spans="2:30">
      <c r="B61" t="s">
        <v>455</v>
      </c>
      <c r="M61" s="79">
        <f>AVERAGE(P61*$Q$2+S61*$T$2+V61*$W$2+Y61*$Z$2+AB61*$AC$2)</f>
        <v>9.0694999999999997</v>
      </c>
      <c r="N61" s="80">
        <f>AVERAGE(Q61*$Q$2+T61*$T$2+W61*$W$2+Z61*$Z$2+AC61*$AC$2)</f>
        <v>10.67</v>
      </c>
      <c r="O61" s="81">
        <f>AVERAGE(R61*$Q$2+U61*$T$2+X61*$W$2+AA61*$Z$2+AD61*$AC$2)</f>
        <v>12.270499999999998</v>
      </c>
      <c r="P61" s="80">
        <v>9.0694999999999997</v>
      </c>
      <c r="Q61" s="80">
        <v>10.67</v>
      </c>
      <c r="R61" s="80">
        <v>12.270499999999998</v>
      </c>
      <c r="S61" s="80">
        <f>P61*$AG$5</f>
        <v>6.3486499999999992</v>
      </c>
      <c r="T61" s="80">
        <f>Q61*$AG$5</f>
        <v>7.4689999999999994</v>
      </c>
      <c r="U61" s="80">
        <f>R61*$AG$5</f>
        <v>8.5893499999999978</v>
      </c>
      <c r="V61" s="80">
        <f>P61*$AJ$5</f>
        <v>10.429924999999999</v>
      </c>
      <c r="W61" s="80">
        <f>Q61*$AJ$5</f>
        <v>12.270499999999998</v>
      </c>
      <c r="X61" s="80">
        <f>R61*$AJ$5</f>
        <v>14.111074999999998</v>
      </c>
      <c r="Y61" s="80"/>
      <c r="Z61" s="80"/>
      <c r="AA61" s="80"/>
      <c r="AB61" s="80"/>
      <c r="AC61" s="80"/>
      <c r="AD61" s="81"/>
    </row>
    <row r="62" spans="2:30">
      <c r="B62" t="s">
        <v>456</v>
      </c>
      <c r="M62" s="82">
        <f t="shared" ref="M62:M67" si="4">AVERAGE(P62*$Q$2+S62*$T$2+V62*$W$2+Y62*$Z$2+AB62*$AC$2)</f>
        <v>4.1224999999999996</v>
      </c>
      <c r="N62" s="83">
        <f t="shared" ref="N62:N67" si="5">AVERAGE(Q62*$Q$2+T62*$T$2+W62*$W$2+Z62*$Z$2+AC62*$AC$2)</f>
        <v>4.8499999999999996</v>
      </c>
      <c r="O62" s="84">
        <f t="shared" ref="O62:O67" si="6">AVERAGE(R62*$Q$2+U62*$T$2+X62*$W$2+AA62*$Z$2+AD62*$AC$2)</f>
        <v>5.5774999999999988</v>
      </c>
      <c r="P62" s="83">
        <v>4.1224999999999996</v>
      </c>
      <c r="Q62" s="83">
        <v>4.8499999999999996</v>
      </c>
      <c r="R62" s="83">
        <v>5.5774999999999988</v>
      </c>
      <c r="S62" s="83">
        <f t="shared" ref="S62:S67" si="7">P62*$AG$5</f>
        <v>2.8857499999999994</v>
      </c>
      <c r="T62" s="83">
        <f t="shared" ref="T62:T67" si="8">Q62*$AG$5</f>
        <v>3.3949999999999996</v>
      </c>
      <c r="U62" s="83">
        <f t="shared" ref="U62:U67" si="9">R62*$AG$5</f>
        <v>3.9042499999999989</v>
      </c>
      <c r="V62" s="83">
        <f t="shared" ref="V62:V67" si="10">P62*$AJ$5</f>
        <v>4.7408749999999991</v>
      </c>
      <c r="W62" s="83">
        <f t="shared" ref="W62:W67" si="11">Q62*$AJ$5</f>
        <v>5.5774999999999988</v>
      </c>
      <c r="X62" s="83">
        <f t="shared" ref="X62:X67" si="12">R62*$AJ$5</f>
        <v>6.4141249999999985</v>
      </c>
      <c r="Y62" s="83"/>
      <c r="Z62" s="83"/>
      <c r="AA62" s="83"/>
      <c r="AB62" s="83"/>
      <c r="AC62" s="83"/>
      <c r="AD62" s="84"/>
    </row>
    <row r="63" spans="2:30">
      <c r="B63" t="s">
        <v>457</v>
      </c>
      <c r="M63" s="82">
        <f t="shared" si="4"/>
        <v>38.751499999999993</v>
      </c>
      <c r="N63" s="83">
        <f t="shared" si="5"/>
        <v>45.589999999999996</v>
      </c>
      <c r="O63" s="84">
        <f t="shared" si="6"/>
        <v>52.428499999999993</v>
      </c>
      <c r="P63" s="83">
        <v>38.751499999999993</v>
      </c>
      <c r="Q63" s="83">
        <v>45.589999999999996</v>
      </c>
      <c r="R63" s="83">
        <v>52.428499999999993</v>
      </c>
      <c r="S63" s="83">
        <f t="shared" si="7"/>
        <v>27.126049999999992</v>
      </c>
      <c r="T63" s="83">
        <f t="shared" si="8"/>
        <v>31.912999999999997</v>
      </c>
      <c r="U63" s="83">
        <f t="shared" si="9"/>
        <v>36.699949999999994</v>
      </c>
      <c r="V63" s="83">
        <f t="shared" si="10"/>
        <v>44.564224999999986</v>
      </c>
      <c r="W63" s="83">
        <f t="shared" si="11"/>
        <v>52.428499999999993</v>
      </c>
      <c r="X63" s="83">
        <f t="shared" si="12"/>
        <v>60.292774999999985</v>
      </c>
      <c r="Y63" s="83"/>
      <c r="Z63" s="83"/>
      <c r="AA63" s="83"/>
      <c r="AB63" s="83"/>
      <c r="AC63" s="83"/>
      <c r="AD63" s="84"/>
    </row>
    <row r="64" spans="2:30">
      <c r="B64" t="s">
        <v>458</v>
      </c>
      <c r="M64" s="82">
        <f t="shared" si="4"/>
        <v>11.049999999999999</v>
      </c>
      <c r="N64" s="83">
        <f t="shared" si="5"/>
        <v>13</v>
      </c>
      <c r="O64" s="84">
        <f t="shared" si="6"/>
        <v>14.95</v>
      </c>
      <c r="P64" s="83">
        <v>11.049999999999999</v>
      </c>
      <c r="Q64" s="83">
        <v>13</v>
      </c>
      <c r="R64" s="83">
        <v>14.95</v>
      </c>
      <c r="S64" s="83">
        <f t="shared" si="7"/>
        <v>7.7349999999999985</v>
      </c>
      <c r="T64" s="83">
        <f t="shared" si="8"/>
        <v>9.1</v>
      </c>
      <c r="U64" s="83">
        <f t="shared" si="9"/>
        <v>10.464999999999998</v>
      </c>
      <c r="V64" s="83">
        <f t="shared" si="10"/>
        <v>12.707499999999998</v>
      </c>
      <c r="W64" s="83">
        <f t="shared" si="11"/>
        <v>14.95</v>
      </c>
      <c r="X64" s="83">
        <f t="shared" si="12"/>
        <v>17.192499999999999</v>
      </c>
      <c r="Y64" s="83"/>
      <c r="Z64" s="83"/>
      <c r="AA64" s="83"/>
      <c r="AB64" s="83"/>
      <c r="AC64" s="83"/>
      <c r="AD64" s="84"/>
    </row>
    <row r="65" spans="2:30">
      <c r="B65" t="s">
        <v>459</v>
      </c>
      <c r="M65" s="82">
        <f t="shared" si="4"/>
        <v>0</v>
      </c>
      <c r="N65" s="83">
        <f t="shared" si="5"/>
        <v>0</v>
      </c>
      <c r="O65" s="84">
        <f t="shared" si="6"/>
        <v>0</v>
      </c>
      <c r="P65" s="83">
        <v>0</v>
      </c>
      <c r="Q65" s="83">
        <v>0</v>
      </c>
      <c r="R65" s="83">
        <v>0</v>
      </c>
      <c r="S65" s="83">
        <f t="shared" si="7"/>
        <v>0</v>
      </c>
      <c r="T65" s="83">
        <f t="shared" si="8"/>
        <v>0</v>
      </c>
      <c r="U65" s="83">
        <f t="shared" si="9"/>
        <v>0</v>
      </c>
      <c r="V65" s="83">
        <f t="shared" si="10"/>
        <v>0</v>
      </c>
      <c r="W65" s="83">
        <f t="shared" si="11"/>
        <v>0</v>
      </c>
      <c r="X65" s="83">
        <f t="shared" si="12"/>
        <v>0</v>
      </c>
      <c r="Y65" s="83"/>
      <c r="Z65" s="83"/>
      <c r="AA65" s="83"/>
      <c r="AB65" s="83"/>
      <c r="AC65" s="83"/>
      <c r="AD65" s="84"/>
    </row>
    <row r="66" spans="2:30">
      <c r="B66" t="s">
        <v>460</v>
      </c>
      <c r="M66" s="82">
        <f t="shared" si="4"/>
        <v>0</v>
      </c>
      <c r="N66" s="83">
        <f t="shared" si="5"/>
        <v>0</v>
      </c>
      <c r="O66" s="84">
        <f t="shared" si="6"/>
        <v>0</v>
      </c>
      <c r="P66" s="83">
        <v>0</v>
      </c>
      <c r="Q66" s="83">
        <v>0</v>
      </c>
      <c r="R66" s="83">
        <v>0</v>
      </c>
      <c r="S66" s="83">
        <f t="shared" si="7"/>
        <v>0</v>
      </c>
      <c r="T66" s="83">
        <f t="shared" si="8"/>
        <v>0</v>
      </c>
      <c r="U66" s="83">
        <f t="shared" si="9"/>
        <v>0</v>
      </c>
      <c r="V66" s="83">
        <f t="shared" si="10"/>
        <v>0</v>
      </c>
      <c r="W66" s="83">
        <f t="shared" si="11"/>
        <v>0</v>
      </c>
      <c r="X66" s="83">
        <f t="shared" si="12"/>
        <v>0</v>
      </c>
      <c r="Y66" s="83"/>
      <c r="Z66" s="83"/>
      <c r="AA66" s="83"/>
      <c r="AB66" s="83"/>
      <c r="AC66" s="83"/>
      <c r="AD66" s="84"/>
    </row>
    <row r="67" spans="2:30" ht="15" thickBot="1">
      <c r="B67" t="s">
        <v>461</v>
      </c>
      <c r="M67" s="85">
        <f t="shared" si="4"/>
        <v>11.542999999999999</v>
      </c>
      <c r="N67" s="86">
        <f t="shared" si="5"/>
        <v>13.58</v>
      </c>
      <c r="O67" s="87">
        <f t="shared" si="6"/>
        <v>15.616999999999999</v>
      </c>
      <c r="P67" s="86">
        <v>11.542999999999999</v>
      </c>
      <c r="Q67" s="86">
        <v>13.58</v>
      </c>
      <c r="R67" s="86">
        <v>15.616999999999999</v>
      </c>
      <c r="S67" s="86">
        <f t="shared" si="7"/>
        <v>8.0800999999999998</v>
      </c>
      <c r="T67" s="86">
        <f t="shared" si="8"/>
        <v>9.5060000000000002</v>
      </c>
      <c r="U67" s="86">
        <f t="shared" si="9"/>
        <v>10.931899999999999</v>
      </c>
      <c r="V67" s="86">
        <f t="shared" si="10"/>
        <v>13.274449999999998</v>
      </c>
      <c r="W67" s="86">
        <f t="shared" si="11"/>
        <v>15.616999999999999</v>
      </c>
      <c r="X67" s="86">
        <f t="shared" si="12"/>
        <v>17.959549999999997</v>
      </c>
      <c r="Y67" s="86"/>
      <c r="Z67" s="86"/>
      <c r="AA67" s="86"/>
      <c r="AB67" s="86"/>
      <c r="AC67" s="86"/>
      <c r="AD67" s="87"/>
    </row>
    <row r="68" spans="2:30" ht="15" thickBot="1">
      <c r="B68" t="s">
        <v>513</v>
      </c>
      <c r="M68" s="118">
        <f>SUM(M61:M67)</f>
        <v>74.53649999999999</v>
      </c>
      <c r="N68" s="119">
        <f t="shared" ref="N68:O68" si="13">SUM(N61:N67)</f>
        <v>87.69</v>
      </c>
      <c r="O68" s="120">
        <f t="shared" si="13"/>
        <v>100.84350000000001</v>
      </c>
    </row>
    <row r="69" spans="2:30">
      <c r="B69" s="1"/>
    </row>
    <row r="70" spans="2:30" ht="15" thickBot="1"/>
    <row r="71" spans="2:30">
      <c r="M71" s="163" t="s">
        <v>513</v>
      </c>
      <c r="N71" s="164"/>
      <c r="O71" s="165"/>
      <c r="P71" s="161" t="s">
        <v>514</v>
      </c>
      <c r="Q71" s="161"/>
      <c r="R71" s="161"/>
      <c r="S71" s="161" t="s">
        <v>43</v>
      </c>
      <c r="T71" s="161"/>
      <c r="U71" s="161"/>
      <c r="V71" s="162" t="s">
        <v>515</v>
      </c>
      <c r="W71" s="162"/>
      <c r="X71" s="162"/>
      <c r="Y71" s="161" t="s">
        <v>516</v>
      </c>
      <c r="Z71" s="161"/>
      <c r="AA71" s="161"/>
      <c r="AB71" s="161" t="s">
        <v>517</v>
      </c>
      <c r="AC71" s="161"/>
      <c r="AD71" s="173"/>
    </row>
    <row r="72" spans="2:30" ht="15" thickBot="1">
      <c r="B72" s="1" t="s">
        <v>563</v>
      </c>
      <c r="C72" s="15" t="s">
        <v>564</v>
      </c>
      <c r="D72" s="15"/>
      <c r="F72" t="s">
        <v>546</v>
      </c>
      <c r="G72" t="s">
        <v>547</v>
      </c>
      <c r="H72" t="s">
        <v>548</v>
      </c>
      <c r="I72" t="s">
        <v>549</v>
      </c>
      <c r="M72" s="166"/>
      <c r="N72" s="167"/>
      <c r="O72" s="168"/>
      <c r="P72" s="88"/>
      <c r="Q72" s="89">
        <v>0.8</v>
      </c>
      <c r="R72" s="88"/>
      <c r="S72" s="88"/>
      <c r="T72" s="89">
        <v>0.2</v>
      </c>
      <c r="U72" s="88"/>
      <c r="V72" s="88"/>
      <c r="W72" s="88">
        <v>0</v>
      </c>
      <c r="X72" s="88"/>
      <c r="Y72" s="88"/>
      <c r="Z72" s="88"/>
      <c r="AA72" s="88"/>
      <c r="AB72" s="88"/>
      <c r="AC72" s="88"/>
      <c r="AD72" s="90"/>
    </row>
    <row r="73" spans="2:30">
      <c r="B73" t="s">
        <v>455</v>
      </c>
      <c r="E73" t="s">
        <v>565</v>
      </c>
      <c r="L73">
        <v>1</v>
      </c>
      <c r="M73" s="79">
        <f>M$61*$L73</f>
        <v>9.0694999999999997</v>
      </c>
      <c r="N73" s="80">
        <f t="shared" ref="N73:O74" si="14">N$61*$L73</f>
        <v>10.67</v>
      </c>
      <c r="O73" s="81">
        <f t="shared" si="14"/>
        <v>12.270499999999998</v>
      </c>
      <c r="P73" s="80"/>
      <c r="Q73" s="80"/>
      <c r="R73" s="80"/>
      <c r="S73" s="80"/>
      <c r="T73" s="80"/>
      <c r="U73" s="80"/>
      <c r="V73" s="80"/>
      <c r="W73" s="80"/>
      <c r="X73" s="80"/>
      <c r="Y73" s="80"/>
      <c r="Z73" s="80"/>
      <c r="AA73" s="80"/>
      <c r="AB73" s="80"/>
      <c r="AC73" s="80"/>
      <c r="AD73" s="81"/>
    </row>
    <row r="74" spans="2:30">
      <c r="B74" t="s">
        <v>456</v>
      </c>
      <c r="L74">
        <v>1</v>
      </c>
      <c r="M74" s="82">
        <f>M$62*$L74</f>
        <v>4.1224999999999996</v>
      </c>
      <c r="N74" s="83">
        <f t="shared" ref="N74:O75" si="15">N$62*$L74</f>
        <v>4.8499999999999996</v>
      </c>
      <c r="O74" s="84">
        <f t="shared" si="15"/>
        <v>5.5774999999999988</v>
      </c>
      <c r="P74" s="83"/>
      <c r="Q74" s="83"/>
      <c r="R74" s="83"/>
      <c r="S74" s="83"/>
      <c r="T74" s="83"/>
      <c r="U74" s="83"/>
      <c r="V74" s="83"/>
      <c r="W74" s="83"/>
      <c r="X74" s="83"/>
      <c r="Y74" s="83"/>
      <c r="Z74" s="83"/>
      <c r="AA74" s="83"/>
      <c r="AB74" s="83"/>
      <c r="AC74" s="83"/>
      <c r="AD74" s="84"/>
    </row>
    <row r="75" spans="2:30">
      <c r="B75" t="s">
        <v>457</v>
      </c>
      <c r="E75" t="s">
        <v>566</v>
      </c>
      <c r="L75">
        <f>IF(SUM($L$41:$L$55)=1.05&lt;1.1,1.01,IF(SUM($L$41:$L$55)=1.11&lt;1.15,1.02,IF(SUM($L$41:$L$55)&gt;=1.16,1.04)))</f>
        <v>1.04</v>
      </c>
      <c r="M75" s="82">
        <f>M$63*$L75</f>
        <v>40.301559999999995</v>
      </c>
      <c r="N75" s="83">
        <f t="shared" ref="N75:O75" si="16">N$63*$L75</f>
        <v>47.413599999999995</v>
      </c>
      <c r="O75" s="84">
        <f t="shared" si="16"/>
        <v>54.525639999999996</v>
      </c>
      <c r="P75" s="83"/>
      <c r="Q75" s="83"/>
      <c r="R75" s="83"/>
      <c r="S75" s="83"/>
      <c r="T75" s="83"/>
      <c r="U75" s="83"/>
      <c r="V75" s="83"/>
      <c r="W75" s="83"/>
      <c r="X75" s="83"/>
      <c r="Y75" s="83"/>
      <c r="Z75" s="83"/>
      <c r="AA75" s="83"/>
      <c r="AB75" s="83"/>
      <c r="AC75" s="83"/>
      <c r="AD75" s="84"/>
    </row>
    <row r="76" spans="2:30">
      <c r="B76" t="s">
        <v>458</v>
      </c>
      <c r="E76" t="s">
        <v>566</v>
      </c>
      <c r="L76">
        <f>IF(SUM($L$41:$L$55)=1.05&lt;1.1,0.97,IF(SUM($L$41:$L$55)=1.11&lt;1.15,0.95,IF(SUM($L$41:$L$55)&gt;=1.16,0.92)))</f>
        <v>0.92</v>
      </c>
      <c r="M76" s="82">
        <f>M$64*$L76</f>
        <v>10.165999999999999</v>
      </c>
      <c r="N76" s="83">
        <f t="shared" ref="N76:O76" si="17">N$64*$L76</f>
        <v>11.96</v>
      </c>
      <c r="O76" s="84">
        <f t="shared" si="17"/>
        <v>13.754</v>
      </c>
      <c r="P76" s="83"/>
      <c r="Q76" s="83"/>
      <c r="R76" s="83"/>
      <c r="S76" s="83"/>
      <c r="T76" s="83"/>
      <c r="U76" s="83"/>
      <c r="V76" s="83"/>
      <c r="W76" s="83"/>
      <c r="X76" s="83"/>
      <c r="Y76" s="83"/>
      <c r="Z76" s="83"/>
      <c r="AA76" s="83"/>
      <c r="AB76" s="83"/>
      <c r="AC76" s="83"/>
      <c r="AD76" s="84"/>
    </row>
    <row r="77" spans="2:30">
      <c r="B77" t="s">
        <v>459</v>
      </c>
      <c r="L77">
        <v>1</v>
      </c>
      <c r="M77" s="82">
        <f>M$65*$L77</f>
        <v>0</v>
      </c>
      <c r="N77" s="83">
        <f t="shared" ref="N77:O77" si="18">N$65*$L77</f>
        <v>0</v>
      </c>
      <c r="O77" s="84">
        <f t="shared" si="18"/>
        <v>0</v>
      </c>
      <c r="P77" s="83"/>
      <c r="Q77" s="83"/>
      <c r="R77" s="83"/>
      <c r="S77" s="83"/>
      <c r="T77" s="83"/>
      <c r="U77" s="83"/>
      <c r="V77" s="83"/>
      <c r="W77" s="83"/>
      <c r="X77" s="83"/>
      <c r="Y77" s="83"/>
      <c r="Z77" s="83"/>
      <c r="AA77" s="83"/>
      <c r="AB77" s="83"/>
      <c r="AC77" s="83"/>
      <c r="AD77" s="84"/>
    </row>
    <row r="78" spans="2:30">
      <c r="B78" t="s">
        <v>460</v>
      </c>
      <c r="L78">
        <v>1</v>
      </c>
      <c r="M78" s="82">
        <f>M$66*$L78</f>
        <v>0</v>
      </c>
      <c r="N78" s="83">
        <f t="shared" ref="N78:O78" si="19">N$66*$L78</f>
        <v>0</v>
      </c>
      <c r="O78" s="84">
        <f t="shared" si="19"/>
        <v>0</v>
      </c>
      <c r="P78" s="83"/>
      <c r="Q78" s="83"/>
      <c r="R78" s="83"/>
      <c r="S78" s="83"/>
      <c r="T78" s="83"/>
      <c r="U78" s="83"/>
      <c r="V78" s="83"/>
      <c r="W78" s="83"/>
      <c r="X78" s="83"/>
      <c r="Y78" s="83"/>
      <c r="Z78" s="83"/>
      <c r="AA78" s="83"/>
      <c r="AB78" s="83"/>
      <c r="AC78" s="83"/>
      <c r="AD78" s="84"/>
    </row>
    <row r="79" spans="2:30" ht="15" thickBot="1">
      <c r="B79" t="s">
        <v>461</v>
      </c>
      <c r="E79" t="s">
        <v>567</v>
      </c>
      <c r="L79">
        <v>1</v>
      </c>
      <c r="M79" s="85">
        <f>M$67*$L79</f>
        <v>11.542999999999999</v>
      </c>
      <c r="N79" s="86">
        <f t="shared" ref="N79:O79" si="20">N$67*$L79</f>
        <v>13.58</v>
      </c>
      <c r="O79" s="87">
        <f t="shared" si="20"/>
        <v>15.616999999999999</v>
      </c>
      <c r="P79" s="86"/>
      <c r="Q79" s="86"/>
      <c r="R79" s="86"/>
      <c r="S79" s="86"/>
      <c r="T79" s="86"/>
      <c r="U79" s="86"/>
      <c r="V79" s="86"/>
      <c r="W79" s="86"/>
      <c r="X79" s="86"/>
      <c r="Y79" s="86"/>
      <c r="Z79" s="86"/>
      <c r="AA79" s="86"/>
      <c r="AB79" s="86"/>
      <c r="AC79" s="86"/>
      <c r="AD79" s="87"/>
    </row>
    <row r="80" spans="2:30" ht="15" thickBot="1">
      <c r="M80" s="118">
        <f>SUM(M73:M79)</f>
        <v>75.202559999999991</v>
      </c>
      <c r="N80" s="119">
        <f t="shared" ref="N80" si="21">SUM(N73:N79)</f>
        <v>88.47359999999999</v>
      </c>
      <c r="O80" s="120">
        <f t="shared" ref="O80" si="22">SUM(O73:O79)</f>
        <v>101.74464</v>
      </c>
    </row>
  </sheetData>
  <dataConsolidate/>
  <mergeCells count="34">
    <mergeCell ref="M59:O60"/>
    <mergeCell ref="P59:R59"/>
    <mergeCell ref="S59:U59"/>
    <mergeCell ref="V59:X59"/>
    <mergeCell ref="Y59:AA59"/>
    <mergeCell ref="AB71:AD71"/>
    <mergeCell ref="AF3:AH3"/>
    <mergeCell ref="AI3:AK3"/>
    <mergeCell ref="AL3:AN3"/>
    <mergeCell ref="AO3:AQ3"/>
    <mergeCell ref="AB59:AD59"/>
    <mergeCell ref="AB22:AD22"/>
    <mergeCell ref="M71:O72"/>
    <mergeCell ref="P71:R71"/>
    <mergeCell ref="S71:U71"/>
    <mergeCell ref="V71:X71"/>
    <mergeCell ref="Y71:AA71"/>
    <mergeCell ref="AB1:AD1"/>
    <mergeCell ref="S39:U39"/>
    <mergeCell ref="V39:X39"/>
    <mergeCell ref="Y39:AA39"/>
    <mergeCell ref="AB39:AD39"/>
    <mergeCell ref="Y1:AA1"/>
    <mergeCell ref="M39:O40"/>
    <mergeCell ref="P39:R39"/>
    <mergeCell ref="S22:U22"/>
    <mergeCell ref="V22:X22"/>
    <mergeCell ref="Y22:AA22"/>
    <mergeCell ref="P1:R1"/>
    <mergeCell ref="S1:U1"/>
    <mergeCell ref="V1:X1"/>
    <mergeCell ref="M1:O2"/>
    <mergeCell ref="M22:O23"/>
    <mergeCell ref="P22:R2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F760-51FC-4A15-82CF-CD7B451F0A85}">
  <dimension ref="A2:H58"/>
  <sheetViews>
    <sheetView topLeftCell="A11" zoomScale="80" zoomScaleNormal="80" workbookViewId="0">
      <selection activeCell="J31" sqref="J31:J123"/>
    </sheetView>
  </sheetViews>
  <sheetFormatPr defaultRowHeight="14.45"/>
  <cols>
    <col min="1" max="1" width="61.42578125" customWidth="1"/>
    <col min="2" max="2" width="13.7109375" customWidth="1"/>
    <col min="3" max="3" width="12.5703125" bestFit="1" customWidth="1"/>
    <col min="4" max="4" width="65.7109375" bestFit="1" customWidth="1"/>
    <col min="5" max="5" width="16.42578125" bestFit="1" customWidth="1"/>
  </cols>
  <sheetData>
    <row r="2" spans="1:5" ht="29.1">
      <c r="A2" s="1" t="s">
        <v>568</v>
      </c>
      <c r="B2" s="1" t="s">
        <v>569</v>
      </c>
      <c r="C2" s="1" t="s">
        <v>51</v>
      </c>
      <c r="D2" s="63" t="s">
        <v>570</v>
      </c>
      <c r="E2" s="1" t="s">
        <v>513</v>
      </c>
    </row>
    <row r="3" spans="1:5">
      <c r="D3" s="15" t="s">
        <v>571</v>
      </c>
    </row>
    <row r="4" spans="1:5">
      <c r="A4" s="1" t="s">
        <v>572</v>
      </c>
    </row>
    <row r="5" spans="1:5">
      <c r="A5" t="s">
        <v>520</v>
      </c>
      <c r="B5" s="59">
        <f>Vormfactoren!B2</f>
        <v>0</v>
      </c>
      <c r="C5" t="s">
        <v>3</v>
      </c>
      <c r="D5" s="127">
        <f>Elementclusters!N4</f>
        <v>0</v>
      </c>
      <c r="E5" s="70">
        <f>B5*D5</f>
        <v>0</v>
      </c>
    </row>
    <row r="6" spans="1:5">
      <c r="A6" t="s">
        <v>522</v>
      </c>
      <c r="B6" s="59">
        <f>Vormfactoren!H19</f>
        <v>0</v>
      </c>
      <c r="C6" t="s">
        <v>493</v>
      </c>
      <c r="D6" s="127">
        <f>Elementclusters!N5</f>
        <v>185</v>
      </c>
      <c r="E6" s="70">
        <f t="shared" ref="E6:E22" si="0">B6*D6</f>
        <v>0</v>
      </c>
    </row>
    <row r="7" spans="1:5">
      <c r="A7" t="s">
        <v>524</v>
      </c>
      <c r="B7" s="59">
        <f>Vormfactoren!B2</f>
        <v>0</v>
      </c>
      <c r="C7" t="s">
        <v>3</v>
      </c>
      <c r="D7" s="127">
        <f>Elementclusters!N6</f>
        <v>230</v>
      </c>
      <c r="E7" s="70">
        <f t="shared" si="0"/>
        <v>0</v>
      </c>
    </row>
    <row r="8" spans="1:5">
      <c r="A8" t="s">
        <v>525</v>
      </c>
      <c r="B8" s="59">
        <f>Vormfactoren!H20</f>
        <v>0</v>
      </c>
      <c r="C8" t="s">
        <v>494</v>
      </c>
      <c r="D8" s="127">
        <f>Elementclusters!N7</f>
        <v>260</v>
      </c>
      <c r="E8" s="70">
        <f t="shared" si="0"/>
        <v>0</v>
      </c>
    </row>
    <row r="9" spans="1:5">
      <c r="A9" t="s">
        <v>527</v>
      </c>
      <c r="B9" s="59">
        <f>Vormfactoren!H21</f>
        <v>0</v>
      </c>
      <c r="C9" t="s">
        <v>495</v>
      </c>
      <c r="D9" s="127">
        <f>Elementclusters!N8</f>
        <v>260</v>
      </c>
      <c r="E9" s="70">
        <f t="shared" si="0"/>
        <v>0</v>
      </c>
    </row>
    <row r="10" spans="1:5">
      <c r="A10" t="s">
        <v>529</v>
      </c>
      <c r="B10" s="59">
        <f>Vormfactoren!H22</f>
        <v>0</v>
      </c>
      <c r="C10" t="s">
        <v>496</v>
      </c>
      <c r="D10" s="127">
        <f>Elementclusters!N9</f>
        <v>145</v>
      </c>
      <c r="E10" s="70">
        <f t="shared" si="0"/>
        <v>0</v>
      </c>
    </row>
    <row r="11" spans="1:5">
      <c r="A11" t="s">
        <v>531</v>
      </c>
      <c r="B11" s="59">
        <f>Vormfactoren!B2</f>
        <v>0</v>
      </c>
      <c r="C11" t="s">
        <v>3</v>
      </c>
      <c r="D11" s="127">
        <f>Elementclusters!N10</f>
        <v>315</v>
      </c>
      <c r="E11" s="70">
        <f t="shared" si="0"/>
        <v>0</v>
      </c>
    </row>
    <row r="12" spans="1:5">
      <c r="A12" t="s">
        <v>532</v>
      </c>
      <c r="B12" s="59">
        <f>Vormfactoren!$B$2</f>
        <v>0</v>
      </c>
      <c r="C12" t="s">
        <v>3</v>
      </c>
      <c r="D12" s="127">
        <f>Elementclusters!N11</f>
        <v>325</v>
      </c>
      <c r="E12" s="70">
        <f t="shared" si="0"/>
        <v>0</v>
      </c>
    </row>
    <row r="13" spans="1:5">
      <c r="A13" t="s">
        <v>533</v>
      </c>
      <c r="B13" s="59">
        <f>Vormfactoren!$B$2</f>
        <v>0</v>
      </c>
      <c r="C13" t="s">
        <v>3</v>
      </c>
      <c r="D13" s="127">
        <f>Elementclusters!N12</f>
        <v>210</v>
      </c>
      <c r="E13" s="70">
        <f t="shared" si="0"/>
        <v>0</v>
      </c>
    </row>
    <row r="14" spans="1:5">
      <c r="A14" t="s">
        <v>534</v>
      </c>
      <c r="B14" s="59">
        <f>Vormfactoren!$B$2</f>
        <v>0</v>
      </c>
      <c r="C14" t="s">
        <v>3</v>
      </c>
      <c r="D14" s="127">
        <f>Elementclusters!N13</f>
        <v>21</v>
      </c>
      <c r="E14" s="70">
        <f t="shared" si="0"/>
        <v>0</v>
      </c>
    </row>
    <row r="15" spans="1:5">
      <c r="A15" t="s">
        <v>438</v>
      </c>
      <c r="B15" s="59">
        <f>Vormfactoren!$B$2</f>
        <v>0</v>
      </c>
      <c r="C15" t="s">
        <v>3</v>
      </c>
      <c r="D15" s="127">
        <f>Elementclusters!N14</f>
        <v>21</v>
      </c>
      <c r="E15" s="70">
        <f t="shared" si="0"/>
        <v>0</v>
      </c>
    </row>
    <row r="16" spans="1:5">
      <c r="A16" t="s">
        <v>439</v>
      </c>
      <c r="B16" s="59">
        <f>Vormfactoren!H26</f>
        <v>0</v>
      </c>
      <c r="C16" t="s">
        <v>573</v>
      </c>
      <c r="D16" s="127">
        <f>Elementclusters!N15</f>
        <v>89.25</v>
      </c>
      <c r="E16" s="70">
        <f t="shared" si="0"/>
        <v>0</v>
      </c>
    </row>
    <row r="17" spans="1:5">
      <c r="A17" s="4" t="s">
        <v>536</v>
      </c>
      <c r="B17" s="59">
        <f>Vormfactoren!$B$2</f>
        <v>0</v>
      </c>
      <c r="C17" s="4" t="s">
        <v>3</v>
      </c>
      <c r="D17" s="128">
        <f>SUM(D5:D16)</f>
        <v>2061.25</v>
      </c>
      <c r="E17" s="71">
        <f>SUM(E5:E16)</f>
        <v>0</v>
      </c>
    </row>
    <row r="18" spans="1:5">
      <c r="A18" t="s">
        <v>537</v>
      </c>
      <c r="B18" s="59">
        <f>Vormfactoren!$B$2</f>
        <v>0</v>
      </c>
      <c r="C18" t="s">
        <v>3</v>
      </c>
      <c r="D18" s="127">
        <f>D17*Elementclusters!N17-D17</f>
        <v>206.125</v>
      </c>
      <c r="E18" s="70">
        <f t="shared" si="0"/>
        <v>0</v>
      </c>
    </row>
    <row r="19" spans="1:5">
      <c r="A19" t="s">
        <v>538</v>
      </c>
      <c r="B19" s="59">
        <f>Vormfactoren!$B$2</f>
        <v>0</v>
      </c>
      <c r="C19" t="s">
        <v>3</v>
      </c>
      <c r="D19" s="127">
        <f>$D$17*Elementclusters!N18-$D$17</f>
        <v>144.28749999999991</v>
      </c>
      <c r="E19" s="70">
        <f t="shared" si="0"/>
        <v>0</v>
      </c>
    </row>
    <row r="20" spans="1:5">
      <c r="A20" t="s">
        <v>539</v>
      </c>
      <c r="B20" s="59">
        <f>Vormfactoren!$B$2</f>
        <v>0</v>
      </c>
      <c r="C20" t="s">
        <v>3</v>
      </c>
      <c r="D20" s="127">
        <f>$D$17*Elementclusters!N19-$D$17</f>
        <v>61.837500000000091</v>
      </c>
      <c r="E20" s="70">
        <f t="shared" si="0"/>
        <v>0</v>
      </c>
    </row>
    <row r="21" spans="1:5">
      <c r="A21" s="1" t="s">
        <v>540</v>
      </c>
      <c r="B21" s="59">
        <f>Vormfactoren!$B$2</f>
        <v>0</v>
      </c>
      <c r="C21" s="1" t="s">
        <v>3</v>
      </c>
      <c r="D21" s="129">
        <f>D17+D18+D19+D20</f>
        <v>2473.5</v>
      </c>
      <c r="E21" s="73">
        <f>SUM(E17:E20)</f>
        <v>0</v>
      </c>
    </row>
    <row r="22" spans="1:5">
      <c r="A22" t="s">
        <v>574</v>
      </c>
      <c r="B22" s="59">
        <f>Vormfactoren!$B$2</f>
        <v>0</v>
      </c>
      <c r="C22" t="s">
        <v>3</v>
      </c>
      <c r="D22" s="127">
        <f>D21*1.21-D21</f>
        <v>519.43499999999995</v>
      </c>
      <c r="E22" s="70">
        <f t="shared" si="0"/>
        <v>0</v>
      </c>
    </row>
    <row r="23" spans="1:5">
      <c r="A23" s="1" t="s">
        <v>575</v>
      </c>
      <c r="B23" s="59">
        <f>Vormfactoren!$B$2</f>
        <v>0</v>
      </c>
      <c r="C23" s="1" t="s">
        <v>3</v>
      </c>
      <c r="D23" s="129">
        <f>D21+D22</f>
        <v>2992.9349999999999</v>
      </c>
      <c r="E23" s="73">
        <f>SUM(E21:E22)</f>
        <v>0</v>
      </c>
    </row>
    <row r="24" spans="1:5">
      <c r="D24" s="127"/>
      <c r="E24" s="70"/>
    </row>
    <row r="25" spans="1:5">
      <c r="D25" s="127"/>
      <c r="E25" s="70"/>
    </row>
    <row r="26" spans="1:5">
      <c r="A26" s="1" t="s">
        <v>576</v>
      </c>
      <c r="B26" s="1" t="s">
        <v>569</v>
      </c>
      <c r="C26" s="1" t="s">
        <v>51</v>
      </c>
      <c r="D26" s="133" t="s">
        <v>521</v>
      </c>
      <c r="E26" s="73" t="s">
        <v>577</v>
      </c>
    </row>
    <row r="27" spans="1:5">
      <c r="A27" s="127" t="s">
        <v>436</v>
      </c>
      <c r="B27" s="135">
        <f>INPUT!$E$3</f>
        <v>0</v>
      </c>
      <c r="C27" s="127" t="s">
        <v>3</v>
      </c>
      <c r="D27" s="127" t="e">
        <f>E27/B27</f>
        <v>#DIV/0!</v>
      </c>
      <c r="E27" s="127">
        <f>E6+E7+E8+E9+E10+E11</f>
        <v>0</v>
      </c>
    </row>
    <row r="28" spans="1:5">
      <c r="A28" s="127" t="s">
        <v>437</v>
      </c>
      <c r="B28" s="135">
        <f>INPUT!$E$3</f>
        <v>0</v>
      </c>
      <c r="C28" s="127" t="s">
        <v>3</v>
      </c>
      <c r="D28" s="127" t="e">
        <f t="shared" ref="D28:D35" si="1">E28/B28</f>
        <v>#DIV/0!</v>
      </c>
      <c r="E28" s="127">
        <f>E12+E13+E14</f>
        <v>0</v>
      </c>
    </row>
    <row r="29" spans="1:5">
      <c r="A29" s="127" t="s">
        <v>438</v>
      </c>
      <c r="B29" s="135">
        <f>INPUT!$E$3</f>
        <v>0</v>
      </c>
      <c r="C29" s="127" t="s">
        <v>3</v>
      </c>
      <c r="D29" s="127" t="e">
        <f t="shared" si="1"/>
        <v>#DIV/0!</v>
      </c>
      <c r="E29" s="127">
        <f>E15</f>
        <v>0</v>
      </c>
    </row>
    <row r="30" spans="1:5">
      <c r="A30" s="127" t="s">
        <v>439</v>
      </c>
      <c r="B30" s="135">
        <f>INPUT!$E$3</f>
        <v>0</v>
      </c>
      <c r="C30" s="127" t="s">
        <v>3</v>
      </c>
      <c r="D30" s="127" t="e">
        <f t="shared" si="1"/>
        <v>#DIV/0!</v>
      </c>
      <c r="E30" s="127">
        <f>E16</f>
        <v>0</v>
      </c>
    </row>
    <row r="31" spans="1:5">
      <c r="A31" s="127" t="s">
        <v>440</v>
      </c>
      <c r="B31" s="135">
        <f>INPUT!$E$3</f>
        <v>0</v>
      </c>
      <c r="C31" s="127" t="s">
        <v>3</v>
      </c>
      <c r="D31" s="127" t="e">
        <f t="shared" si="1"/>
        <v>#DIV/0!</v>
      </c>
      <c r="E31" s="127">
        <f>E18+E19+E20</f>
        <v>0</v>
      </c>
    </row>
    <row r="32" spans="1:5">
      <c r="A32" s="6" t="s">
        <v>441</v>
      </c>
      <c r="B32" s="4">
        <f>INPUT!$E$3</f>
        <v>0</v>
      </c>
      <c r="C32" s="6" t="s">
        <v>3</v>
      </c>
      <c r="D32" s="6" t="e">
        <f t="shared" si="1"/>
        <v>#DIV/0!</v>
      </c>
      <c r="E32" s="6">
        <f>SUM(E27:E31)</f>
        <v>0</v>
      </c>
    </row>
    <row r="33" spans="1:8">
      <c r="A33" s="3" t="s">
        <v>442</v>
      </c>
      <c r="B33">
        <f>INPUT!$E$3</f>
        <v>0</v>
      </c>
      <c r="C33" s="3" t="s">
        <v>3</v>
      </c>
      <c r="D33" s="3" t="e">
        <f t="shared" si="1"/>
        <v>#DIV/0!</v>
      </c>
      <c r="E33" s="3">
        <f>E32*0.18</f>
        <v>0</v>
      </c>
      <c r="G33" s="3"/>
    </row>
    <row r="34" spans="1:8" ht="15" thickBot="1">
      <c r="A34" s="8" t="s">
        <v>443</v>
      </c>
      <c r="B34" s="7">
        <f>INPUT!$E$3</f>
        <v>0</v>
      </c>
      <c r="C34" s="8" t="s">
        <v>3</v>
      </c>
      <c r="D34" s="8" t="e">
        <f t="shared" si="1"/>
        <v>#DIV/0!</v>
      </c>
      <c r="E34" s="8">
        <f>SUM(E32:E33)*0.21</f>
        <v>0</v>
      </c>
      <c r="H34" s="132"/>
    </row>
    <row r="35" spans="1:8">
      <c r="A35" s="5" t="s">
        <v>444</v>
      </c>
      <c r="B35" s="1">
        <f>INPUT!$E$3</f>
        <v>0</v>
      </c>
      <c r="C35" s="5" t="s">
        <v>3</v>
      </c>
      <c r="D35" s="5" t="e">
        <f t="shared" si="1"/>
        <v>#DIV/0!</v>
      </c>
      <c r="E35" s="5">
        <f>SUM(E32:E34)</f>
        <v>0</v>
      </c>
      <c r="H35" s="132"/>
    </row>
    <row r="36" spans="1:8">
      <c r="D36" s="69"/>
      <c r="E36" s="70"/>
      <c r="H36" s="132"/>
    </row>
    <row r="37" spans="1:8">
      <c r="D37" s="69"/>
      <c r="E37" s="70"/>
    </row>
    <row r="38" spans="1:8">
      <c r="D38" s="69"/>
      <c r="E38" s="70"/>
    </row>
    <row r="39" spans="1:8">
      <c r="A39" s="1" t="s">
        <v>578</v>
      </c>
      <c r="D39" s="69"/>
      <c r="E39" s="70"/>
    </row>
    <row r="40" spans="1:8">
      <c r="A40" t="s">
        <v>20</v>
      </c>
      <c r="B40" s="59">
        <f>Vormfactoren!$B$2</f>
        <v>0</v>
      </c>
      <c r="C40" t="s">
        <v>521</v>
      </c>
      <c r="D40" s="69">
        <f>Elementclusters!N41</f>
        <v>0</v>
      </c>
      <c r="E40" s="70">
        <f t="shared" ref="E40:E54" si="2">B40*D40</f>
        <v>0</v>
      </c>
    </row>
    <row r="41" spans="1:8">
      <c r="A41" t="s">
        <v>22</v>
      </c>
      <c r="B41" s="59">
        <f>Vormfactoren!$B$2</f>
        <v>0</v>
      </c>
      <c r="C41" t="s">
        <v>521</v>
      </c>
      <c r="D41" s="69">
        <f>Elementclusters!N42</f>
        <v>0</v>
      </c>
      <c r="E41" s="70">
        <f t="shared" si="2"/>
        <v>0</v>
      </c>
    </row>
    <row r="42" spans="1:8">
      <c r="A42" t="s">
        <v>24</v>
      </c>
      <c r="B42" s="59">
        <f>Vormfactoren!$B$2</f>
        <v>0</v>
      </c>
      <c r="C42" t="s">
        <v>521</v>
      </c>
      <c r="D42" s="69">
        <f>Elementclusters!N43</f>
        <v>0</v>
      </c>
      <c r="E42" s="70">
        <f t="shared" si="2"/>
        <v>0</v>
      </c>
    </row>
    <row r="43" spans="1:8">
      <c r="A43" t="s">
        <v>26</v>
      </c>
      <c r="B43" s="59">
        <f>Vormfactoren!$B$2</f>
        <v>0</v>
      </c>
      <c r="C43" t="s">
        <v>521</v>
      </c>
      <c r="D43" s="69">
        <f>Elementclusters!N44</f>
        <v>16.443894071000003</v>
      </c>
      <c r="E43" s="70">
        <f t="shared" si="2"/>
        <v>0</v>
      </c>
    </row>
    <row r="44" spans="1:8">
      <c r="A44" t="s">
        <v>28</v>
      </c>
      <c r="B44" s="59">
        <f>Vormfactoren!$B$2</f>
        <v>0</v>
      </c>
      <c r="C44" t="s">
        <v>521</v>
      </c>
      <c r="D44" s="69">
        <f>Elementclusters!N45</f>
        <v>24.665841106499801</v>
      </c>
      <c r="E44" s="70">
        <f t="shared" si="2"/>
        <v>0</v>
      </c>
    </row>
    <row r="45" spans="1:8">
      <c r="A45" t="s">
        <v>30</v>
      </c>
      <c r="B45" s="59">
        <f>Vormfactoren!$B$2</f>
        <v>0</v>
      </c>
      <c r="C45" t="s">
        <v>521</v>
      </c>
      <c r="D45" s="69">
        <f>Elementclusters!N46</f>
        <v>0</v>
      </c>
      <c r="E45" s="70">
        <f t="shared" si="2"/>
        <v>0</v>
      </c>
    </row>
    <row r="46" spans="1:8">
      <c r="A46" t="s">
        <v>31</v>
      </c>
      <c r="B46" s="59">
        <f>Vormfactoren!$B$2</f>
        <v>0</v>
      </c>
      <c r="C46" t="s">
        <v>521</v>
      </c>
      <c r="D46" s="69">
        <f>Elementclusters!N47</f>
        <v>0</v>
      </c>
      <c r="E46" s="70">
        <f t="shared" si="2"/>
        <v>0</v>
      </c>
    </row>
    <row r="47" spans="1:8">
      <c r="A47" t="s">
        <v>32</v>
      </c>
      <c r="B47" s="59">
        <f>Vormfactoren!$B$2</f>
        <v>0</v>
      </c>
      <c r="C47" t="s">
        <v>521</v>
      </c>
      <c r="D47" s="69">
        <f>Elementclusters!N48</f>
        <v>0</v>
      </c>
      <c r="E47" s="70">
        <f t="shared" si="2"/>
        <v>0</v>
      </c>
    </row>
    <row r="48" spans="1:8">
      <c r="A48" t="s">
        <v>33</v>
      </c>
      <c r="B48" s="59">
        <f>Vormfactoren!$B$2</f>
        <v>0</v>
      </c>
      <c r="C48" t="s">
        <v>521</v>
      </c>
      <c r="D48" s="69">
        <f>Elementclusters!N49</f>
        <v>0</v>
      </c>
      <c r="E48" s="70">
        <f t="shared" si="2"/>
        <v>0</v>
      </c>
    </row>
    <row r="49" spans="1:5">
      <c r="A49" t="s">
        <v>34</v>
      </c>
      <c r="B49" s="59">
        <f>Vormfactoren!$B$2</f>
        <v>0</v>
      </c>
      <c r="C49" t="s">
        <v>521</v>
      </c>
      <c r="D49" s="69">
        <f>Elementclusters!N50</f>
        <v>0</v>
      </c>
      <c r="E49" s="70">
        <f t="shared" si="2"/>
        <v>0</v>
      </c>
    </row>
    <row r="50" spans="1:5">
      <c r="A50" t="s">
        <v>35</v>
      </c>
      <c r="B50" s="59">
        <f>Vormfactoren!$B$2</f>
        <v>0</v>
      </c>
      <c r="C50" t="s">
        <v>521</v>
      </c>
      <c r="D50" s="69">
        <f>Elementclusters!N51</f>
        <v>0</v>
      </c>
      <c r="E50" s="70">
        <f t="shared" si="2"/>
        <v>0</v>
      </c>
    </row>
    <row r="51" spans="1:5">
      <c r="A51" t="s">
        <v>36</v>
      </c>
      <c r="B51" s="59">
        <f>Vormfactoren!$B$2</f>
        <v>0</v>
      </c>
      <c r="C51" t="s">
        <v>521</v>
      </c>
      <c r="D51" s="69">
        <f>Elementclusters!N52</f>
        <v>0</v>
      </c>
      <c r="E51" s="70">
        <f t="shared" si="2"/>
        <v>0</v>
      </c>
    </row>
    <row r="52" spans="1:5">
      <c r="A52" t="s">
        <v>37</v>
      </c>
      <c r="B52" s="59">
        <f>Vormfactoren!$B$2</f>
        <v>0</v>
      </c>
      <c r="C52" t="s">
        <v>521</v>
      </c>
      <c r="D52" s="69">
        <f>Elementclusters!N53</f>
        <v>0</v>
      </c>
      <c r="E52" s="70">
        <f t="shared" si="2"/>
        <v>0</v>
      </c>
    </row>
    <row r="53" spans="1:5">
      <c r="A53" t="s">
        <v>38</v>
      </c>
      <c r="B53" s="59">
        <f>Vormfactoren!$B$2</f>
        <v>0</v>
      </c>
      <c r="C53" t="s">
        <v>521</v>
      </c>
      <c r="D53" s="69">
        <f>Elementclusters!N54</f>
        <v>0</v>
      </c>
      <c r="E53" s="70">
        <f t="shared" si="2"/>
        <v>0</v>
      </c>
    </row>
    <row r="54" spans="1:5">
      <c r="A54" t="s">
        <v>39</v>
      </c>
      <c r="B54" s="59">
        <f>Vormfactoren!$B$2</f>
        <v>0</v>
      </c>
      <c r="C54" t="s">
        <v>521</v>
      </c>
      <c r="D54" s="69">
        <f>Elementclusters!N55</f>
        <v>0</v>
      </c>
      <c r="E54" s="70">
        <f t="shared" si="2"/>
        <v>0</v>
      </c>
    </row>
    <row r="55" spans="1:5" s="1" customFormat="1">
      <c r="A55" s="1" t="s">
        <v>579</v>
      </c>
      <c r="B55" s="59">
        <f>B53</f>
        <v>0</v>
      </c>
      <c r="C55" s="1" t="s">
        <v>521</v>
      </c>
      <c r="D55" s="73">
        <f>SUM(D40:D54)</f>
        <v>41.1097351774998</v>
      </c>
      <c r="E55" s="73">
        <f>SUM(E40:E54)</f>
        <v>0</v>
      </c>
    </row>
    <row r="56" spans="1:5">
      <c r="D56" s="69"/>
      <c r="E56" s="70"/>
    </row>
    <row r="58" spans="1:5">
      <c r="A58" s="1" t="s">
        <v>577</v>
      </c>
      <c r="B58" s="68">
        <f>Vormfactoren!$B$2</f>
        <v>0</v>
      </c>
      <c r="C58" s="1" t="s">
        <v>521</v>
      </c>
      <c r="D58" s="72" t="e">
        <f>D35+D55</f>
        <v>#DIV/0!</v>
      </c>
      <c r="E58" s="72">
        <f>E35+E55</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4"/>
  <sheetViews>
    <sheetView workbookViewId="0">
      <selection activeCell="J31" sqref="J31:J123"/>
    </sheetView>
  </sheetViews>
  <sheetFormatPr defaultRowHeight="14.45"/>
  <cols>
    <col min="2" max="2" width="25.42578125" bestFit="1" customWidth="1"/>
    <col min="3" max="3" width="26.140625" bestFit="1" customWidth="1"/>
    <col min="4" max="4" width="10" bestFit="1" customWidth="1"/>
    <col min="6" max="6" width="10" bestFit="1" customWidth="1"/>
    <col min="8" max="8" width="10" bestFit="1" customWidth="1"/>
    <col min="9" max="9" width="10.85546875" customWidth="1"/>
    <col min="10" max="10" width="10" bestFit="1" customWidth="1"/>
  </cols>
  <sheetData>
    <row r="1" spans="1:11">
      <c r="C1" s="1" t="s">
        <v>430</v>
      </c>
      <c r="I1" s="1" t="s">
        <v>580</v>
      </c>
    </row>
    <row r="2" spans="1:11" ht="15" customHeight="1" thickBot="1">
      <c r="C2" t="s">
        <v>431</v>
      </c>
      <c r="D2" t="s">
        <v>432</v>
      </c>
      <c r="I2" s="11" t="s">
        <v>581</v>
      </c>
    </row>
    <row r="3" spans="1:11" ht="15" customHeight="1" thickBot="1">
      <c r="B3" t="s">
        <v>3</v>
      </c>
      <c r="C3">
        <v>1312</v>
      </c>
      <c r="D3">
        <v>2423</v>
      </c>
      <c r="F3" s="13">
        <v>4000</v>
      </c>
      <c r="G3" t="s">
        <v>582</v>
      </c>
    </row>
    <row r="4" spans="1:11">
      <c r="B4" t="s">
        <v>433</v>
      </c>
      <c r="C4" t="s">
        <v>434</v>
      </c>
      <c r="D4" t="s">
        <v>434</v>
      </c>
      <c r="H4" s="4" t="s">
        <v>467</v>
      </c>
      <c r="I4" s="4" t="s">
        <v>468</v>
      </c>
      <c r="J4" s="4" t="s">
        <v>469</v>
      </c>
      <c r="K4" s="4" t="s">
        <v>580</v>
      </c>
    </row>
    <row r="5" spans="1:11">
      <c r="A5">
        <v>1</v>
      </c>
      <c r="B5" t="s">
        <v>436</v>
      </c>
      <c r="C5" s="3">
        <v>1211</v>
      </c>
      <c r="D5" s="3">
        <v>1071</v>
      </c>
      <c r="E5" s="124"/>
      <c r="F5" s="3">
        <f t="shared" ref="F5:F13" si="0">IF(OR($F$3="",$C$3="",$D$3="",$D$3=$C$3),"",MIN(MAX($C5+($D5-$C5)*(($F$3-$C$3)/($D$3-$C$3)),MAX($C5*0.97,$D5*0.97)),MAX($C5,$D5)*1.05))</f>
        <v>1174.67</v>
      </c>
      <c r="G5" s="3"/>
      <c r="H5" s="3">
        <f>0.9*I5</f>
        <v>934.98299999999995</v>
      </c>
      <c r="I5" s="3">
        <f t="shared" ref="I5:I13" si="1">IF(OR($F$3="", $C$3="", $D$3="", $D$3=$C$3, $C$3&lt;=0, $D$3&lt;=0), "", IF(OR($C5&lt;=0, $D5&lt;=0), MIN(MAX($C5 + ($D5-$C5)*(($F$3-$C$3)/($D$3-$C$3)), MIN($C5,$D5)*0.97), MAX($C5,$D5)*1.05), MIN(MAX($C5 * (($F$3/$C$3) ^ (LOG($D5/$C5) / LOG($D$3/$C$3))), MIN($C5,$D5)*0.97), MAX($C5,$D5)*1.05)))</f>
        <v>1038.8699999999999</v>
      </c>
      <c r="J5" s="3">
        <f>1.1*I5</f>
        <v>1142.7570000000001</v>
      </c>
      <c r="K5" s="3" t="e">
        <f>Calculatie!D27</f>
        <v>#DIV/0!</v>
      </c>
    </row>
    <row r="6" spans="1:11">
      <c r="A6">
        <v>2</v>
      </c>
      <c r="B6" t="s">
        <v>437</v>
      </c>
      <c r="C6" s="3">
        <v>573</v>
      </c>
      <c r="D6" s="3">
        <v>527</v>
      </c>
      <c r="F6" s="3">
        <f t="shared" si="0"/>
        <v>555.80999999999995</v>
      </c>
      <c r="G6" s="3"/>
      <c r="H6" s="3">
        <f t="shared" ref="H6:H13" si="2">0.9*I6</f>
        <v>460.07100000000003</v>
      </c>
      <c r="I6" s="3">
        <f t="shared" si="1"/>
        <v>511.19</v>
      </c>
      <c r="J6" s="3">
        <f t="shared" ref="J6:J13" si="3">1.1*I6</f>
        <v>562.30900000000008</v>
      </c>
      <c r="K6" s="3" t="e">
        <f>Calculatie!D28</f>
        <v>#DIV/0!</v>
      </c>
    </row>
    <row r="7" spans="1:11">
      <c r="A7">
        <v>3</v>
      </c>
      <c r="B7" t="s">
        <v>438</v>
      </c>
      <c r="C7" s="3">
        <v>45</v>
      </c>
      <c r="D7" s="3">
        <v>36</v>
      </c>
      <c r="F7" s="3">
        <f t="shared" si="0"/>
        <v>43.65</v>
      </c>
      <c r="G7" s="3"/>
      <c r="H7" s="3">
        <f t="shared" si="2"/>
        <v>31.428000000000001</v>
      </c>
      <c r="I7" s="3">
        <f t="shared" si="1"/>
        <v>34.92</v>
      </c>
      <c r="J7" s="3">
        <f t="shared" si="3"/>
        <v>38.412000000000006</v>
      </c>
      <c r="K7" s="3" t="e">
        <f>Calculatie!D29</f>
        <v>#DIV/0!</v>
      </c>
    </row>
    <row r="8" spans="1:11">
      <c r="A8">
        <v>4</v>
      </c>
      <c r="B8" t="s">
        <v>439</v>
      </c>
      <c r="C8" s="3">
        <v>88</v>
      </c>
      <c r="D8" s="3">
        <v>95</v>
      </c>
      <c r="F8" s="3">
        <f t="shared" si="0"/>
        <v>99.75</v>
      </c>
      <c r="G8" s="3"/>
      <c r="H8" s="3">
        <f t="shared" si="2"/>
        <v>89.775000000000006</v>
      </c>
      <c r="I8" s="3">
        <f t="shared" si="1"/>
        <v>99.75</v>
      </c>
      <c r="J8" s="3">
        <f t="shared" si="3"/>
        <v>109.72500000000001</v>
      </c>
      <c r="K8" s="3" t="e">
        <f>Calculatie!D30</f>
        <v>#DIV/0!</v>
      </c>
    </row>
    <row r="9" spans="1:11">
      <c r="A9">
        <v>5</v>
      </c>
      <c r="B9" t="s">
        <v>440</v>
      </c>
      <c r="C9" s="3">
        <v>385</v>
      </c>
      <c r="D9" s="3">
        <v>348</v>
      </c>
      <c r="F9" s="3">
        <f t="shared" si="0"/>
        <v>373.45</v>
      </c>
      <c r="G9" s="3"/>
      <c r="H9" s="3">
        <f t="shared" si="2"/>
        <v>303.80400000000003</v>
      </c>
      <c r="I9" s="3">
        <f t="shared" si="1"/>
        <v>337.56</v>
      </c>
      <c r="J9" s="3">
        <f t="shared" si="3"/>
        <v>371.31600000000003</v>
      </c>
      <c r="K9" s="3" t="e">
        <f>Calculatie!D31</f>
        <v>#DIV/0!</v>
      </c>
    </row>
    <row r="10" spans="1:11" s="4" customFormat="1">
      <c r="A10" s="4">
        <v>6</v>
      </c>
      <c r="B10" s="4" t="s">
        <v>441</v>
      </c>
      <c r="C10" s="6">
        <v>2302</v>
      </c>
      <c r="D10" s="6">
        <v>2077</v>
      </c>
      <c r="E10" s="134"/>
      <c r="F10" s="6">
        <f t="shared" si="0"/>
        <v>2232.94</v>
      </c>
      <c r="G10" s="6"/>
      <c r="H10" s="6">
        <f t="shared" si="2"/>
        <v>1813.221</v>
      </c>
      <c r="I10" s="6">
        <f t="shared" si="1"/>
        <v>2014.69</v>
      </c>
      <c r="J10" s="6">
        <f t="shared" si="3"/>
        <v>2216.1590000000001</v>
      </c>
      <c r="K10" s="6" t="e">
        <f>Calculatie!D32</f>
        <v>#DIV/0!</v>
      </c>
    </row>
    <row r="11" spans="1:11">
      <c r="A11">
        <v>7</v>
      </c>
      <c r="B11" t="s">
        <v>442</v>
      </c>
      <c r="C11" s="3">
        <v>413</v>
      </c>
      <c r="D11" s="3">
        <v>373</v>
      </c>
      <c r="F11" s="3">
        <f t="shared" si="0"/>
        <v>400.61</v>
      </c>
      <c r="G11" s="3"/>
      <c r="H11" s="3">
        <f t="shared" si="2"/>
        <v>325.62900000000002</v>
      </c>
      <c r="I11" s="3">
        <f t="shared" si="1"/>
        <v>361.81</v>
      </c>
      <c r="J11" s="3">
        <f t="shared" si="3"/>
        <v>397.99100000000004</v>
      </c>
      <c r="K11" s="3" t="e">
        <f>Calculatie!D33</f>
        <v>#DIV/0!</v>
      </c>
    </row>
    <row r="12" spans="1:11" ht="15" customHeight="1" thickBot="1">
      <c r="A12">
        <v>8</v>
      </c>
      <c r="B12" s="7" t="s">
        <v>443</v>
      </c>
      <c r="C12" s="8">
        <v>567</v>
      </c>
      <c r="D12" s="8">
        <v>512</v>
      </c>
      <c r="F12" s="8">
        <f t="shared" si="0"/>
        <v>549.99</v>
      </c>
      <c r="G12" s="8"/>
      <c r="H12" s="8">
        <f t="shared" si="2"/>
        <v>446.976</v>
      </c>
      <c r="I12" s="8">
        <f t="shared" si="1"/>
        <v>496.64</v>
      </c>
      <c r="J12" s="8">
        <f t="shared" si="3"/>
        <v>546.30399999999997</v>
      </c>
      <c r="K12" s="8" t="e">
        <f>Calculatie!D34</f>
        <v>#DIV/0!</v>
      </c>
    </row>
    <row r="13" spans="1:11" s="1" customFormat="1">
      <c r="A13" s="1">
        <v>9</v>
      </c>
      <c r="B13" s="1" t="s">
        <v>583</v>
      </c>
      <c r="C13" s="5">
        <v>3283</v>
      </c>
      <c r="D13" s="5">
        <v>2962</v>
      </c>
      <c r="F13" s="5">
        <f t="shared" si="0"/>
        <v>3184.5099999999998</v>
      </c>
      <c r="G13" s="5"/>
      <c r="H13" s="5">
        <f t="shared" si="2"/>
        <v>2585.826</v>
      </c>
      <c r="I13" s="5">
        <f t="shared" si="1"/>
        <v>2873.14</v>
      </c>
      <c r="J13" s="5">
        <f t="shared" si="3"/>
        <v>3160.4540000000002</v>
      </c>
      <c r="K13" s="5" t="e">
        <f>Calculatie!D35</f>
        <v>#DIV/0!</v>
      </c>
    </row>
    <row r="14" spans="1:11">
      <c r="C14" s="3"/>
      <c r="D14" s="3"/>
      <c r="F14" s="3"/>
      <c r="G14" s="3"/>
      <c r="H14" s="3"/>
      <c r="I14" s="3"/>
      <c r="J14" s="3"/>
    </row>
    <row r="15" spans="1:11">
      <c r="C15" s="3"/>
      <c r="D15" s="3"/>
      <c r="F15" s="3"/>
      <c r="G15" s="3"/>
      <c r="H15" s="3"/>
      <c r="I15" s="3"/>
      <c r="J15" s="3"/>
    </row>
    <row r="16" spans="1:11">
      <c r="B16" s="4" t="s">
        <v>584</v>
      </c>
      <c r="C16" s="3"/>
      <c r="D16" s="3"/>
      <c r="F16" s="3"/>
      <c r="G16" s="3"/>
      <c r="H16" s="3"/>
      <c r="I16" s="3"/>
      <c r="J16" s="3"/>
    </row>
    <row r="17" spans="2:11">
      <c r="B17" t="s">
        <v>446</v>
      </c>
      <c r="C17" s="3">
        <v>143</v>
      </c>
      <c r="D17" s="3">
        <v>138</v>
      </c>
      <c r="F17" s="3">
        <f t="shared" ref="F17:F24" si="4">IF(OR($F$3="",$C$3="",$D$3="",$D$3=$C$3),"",MIN(MAX($C17+($D17-$C17)*(($F$3-$C$3)/($D$3-$C$3)),MAX($C17*0.97,$D17*0.97)),MAX($C17,$D17)*1.05))</f>
        <v>138.71</v>
      </c>
      <c r="G17" s="3"/>
      <c r="H17" s="3">
        <f>0.85*I17</f>
        <v>113.93765034588523</v>
      </c>
      <c r="I17" s="3">
        <f t="shared" ref="I17:I24" si="5">IF(OR($F$3="", $C$3="", $D$3="", $D$3=$C$3, $C$3&lt;=0, $D$3&lt;=0), "", IF(OR($C17&lt;=0, $D17&lt;=0), MIN(MAX($C17 + ($D17-$C17)*(($F$3-$C$3)/($D$3-$C$3)), MIN($C17,$D17)*0.97), MAX($C17,$D17)*1.05), MIN(MAX($C17 * (($F$3/$C$3) ^ (LOG($D17/$C17) / LOG($D$3/$C$3))), MIN($C17,$D17)*0.97), MAX($C17,$D17)*1.05)))</f>
        <v>134.04429452457086</v>
      </c>
      <c r="J17" s="3">
        <f>1.15*I17</f>
        <v>154.15093870325649</v>
      </c>
    </row>
    <row r="18" spans="2:11">
      <c r="B18" t="s">
        <v>447</v>
      </c>
      <c r="C18" s="3">
        <v>212</v>
      </c>
      <c r="D18" s="3">
        <v>212</v>
      </c>
      <c r="F18" s="3">
        <f t="shared" si="4"/>
        <v>212</v>
      </c>
      <c r="G18" s="3"/>
      <c r="H18" s="3">
        <f t="shared" ref="H18:H24" si="6">0.85*I18</f>
        <v>180.2</v>
      </c>
      <c r="I18" s="3">
        <f t="shared" si="5"/>
        <v>212</v>
      </c>
      <c r="J18" s="3">
        <f t="shared" ref="J18:J24" si="7">1.15*I18</f>
        <v>243.79999999999998</v>
      </c>
    </row>
    <row r="19" spans="2:11">
      <c r="B19" t="s">
        <v>448</v>
      </c>
      <c r="C19" s="3">
        <v>233</v>
      </c>
      <c r="D19" s="3">
        <v>203</v>
      </c>
      <c r="F19" s="3">
        <f t="shared" si="4"/>
        <v>226.01</v>
      </c>
      <c r="G19" s="3"/>
      <c r="H19" s="3">
        <f t="shared" si="6"/>
        <v>167.37349999999998</v>
      </c>
      <c r="I19" s="3">
        <f t="shared" si="5"/>
        <v>196.91</v>
      </c>
      <c r="J19" s="3">
        <f t="shared" si="7"/>
        <v>226.44649999999999</v>
      </c>
    </row>
    <row r="20" spans="2:11">
      <c r="B20" t="s">
        <v>449</v>
      </c>
      <c r="C20" s="3">
        <v>24</v>
      </c>
      <c r="D20" s="3">
        <v>20</v>
      </c>
      <c r="F20" s="3">
        <f t="shared" si="4"/>
        <v>23.28</v>
      </c>
      <c r="G20" s="3"/>
      <c r="H20" s="3">
        <f t="shared" si="6"/>
        <v>16.489999999999998</v>
      </c>
      <c r="I20" s="3">
        <f t="shared" si="5"/>
        <v>19.399999999999999</v>
      </c>
      <c r="J20" s="3">
        <f t="shared" si="7"/>
        <v>22.309999999999995</v>
      </c>
    </row>
    <row r="21" spans="2:11">
      <c r="B21" t="s">
        <v>450</v>
      </c>
      <c r="C21" s="3">
        <v>5</v>
      </c>
      <c r="D21" s="3">
        <v>5</v>
      </c>
      <c r="F21" s="3">
        <f t="shared" si="4"/>
        <v>5</v>
      </c>
      <c r="G21" s="3"/>
      <c r="H21" s="3">
        <f t="shared" si="6"/>
        <v>4.25</v>
      </c>
      <c r="I21" s="3">
        <f t="shared" si="5"/>
        <v>5</v>
      </c>
      <c r="J21" s="3">
        <f t="shared" si="7"/>
        <v>5.75</v>
      </c>
    </row>
    <row r="22" spans="2:11">
      <c r="B22" t="s">
        <v>451</v>
      </c>
      <c r="C22" s="3">
        <v>96</v>
      </c>
      <c r="D22" s="3">
        <v>100</v>
      </c>
      <c r="F22" s="3">
        <f t="shared" si="4"/>
        <v>105</v>
      </c>
      <c r="G22" s="3"/>
      <c r="H22" s="3">
        <f t="shared" si="6"/>
        <v>87.883249895727687</v>
      </c>
      <c r="I22" s="3">
        <f t="shared" si="5"/>
        <v>103.3920587008561</v>
      </c>
      <c r="J22" s="3">
        <f t="shared" si="7"/>
        <v>118.90086750598451</v>
      </c>
    </row>
    <row r="23" spans="2:11" ht="15" customHeight="1" thickBot="1">
      <c r="B23" s="7" t="s">
        <v>452</v>
      </c>
      <c r="C23" s="8">
        <v>113</v>
      </c>
      <c r="D23" s="8">
        <v>83</v>
      </c>
      <c r="F23" s="8">
        <f t="shared" si="4"/>
        <v>109.61</v>
      </c>
      <c r="G23" s="8"/>
      <c r="H23" s="8">
        <f t="shared" si="6"/>
        <v>68.433499999999995</v>
      </c>
      <c r="I23" s="8">
        <f t="shared" si="5"/>
        <v>80.509999999999991</v>
      </c>
      <c r="J23" s="8">
        <f t="shared" si="7"/>
        <v>92.586499999999987</v>
      </c>
    </row>
    <row r="24" spans="2:11">
      <c r="B24" s="1" t="s">
        <v>585</v>
      </c>
      <c r="C24" s="5">
        <v>826</v>
      </c>
      <c r="D24" s="5">
        <v>762</v>
      </c>
      <c r="F24" s="5">
        <f t="shared" si="4"/>
        <v>801.22</v>
      </c>
      <c r="G24" s="5"/>
      <c r="H24" s="5">
        <f t="shared" si="6"/>
        <v>628.26900000000001</v>
      </c>
      <c r="I24" s="5">
        <f t="shared" si="5"/>
        <v>739.14</v>
      </c>
      <c r="J24" s="5">
        <f t="shared" si="7"/>
        <v>850.01099999999997</v>
      </c>
    </row>
    <row r="25" spans="2:11">
      <c r="C25" s="3"/>
      <c r="D25" s="3"/>
      <c r="F25" s="3"/>
      <c r="G25" s="3"/>
      <c r="H25" s="3"/>
      <c r="I25" s="3"/>
      <c r="J25" s="3"/>
    </row>
    <row r="26" spans="2:11">
      <c r="C26" s="3"/>
      <c r="D26" s="3"/>
      <c r="F26" s="3"/>
      <c r="G26" s="3"/>
      <c r="H26" s="3"/>
      <c r="I26" s="3"/>
      <c r="J26" s="3"/>
    </row>
    <row r="27" spans="2:11">
      <c r="C27" s="3"/>
      <c r="D27" s="3"/>
      <c r="F27" s="3"/>
      <c r="G27" s="3"/>
      <c r="H27" s="3"/>
      <c r="I27" s="3"/>
      <c r="J27" s="3"/>
    </row>
    <row r="28" spans="2:11">
      <c r="B28" s="4" t="s">
        <v>586</v>
      </c>
      <c r="C28" s="3"/>
      <c r="D28" s="3"/>
      <c r="F28" s="3"/>
      <c r="G28" s="3"/>
      <c r="H28" s="3"/>
      <c r="I28" s="3"/>
      <c r="J28" s="3"/>
    </row>
    <row r="29" spans="2:11">
      <c r="B29" t="s">
        <v>20</v>
      </c>
      <c r="C29" s="3"/>
      <c r="D29" s="3"/>
      <c r="F29" s="3"/>
      <c r="G29" s="3"/>
      <c r="H29" s="3"/>
      <c r="I29" s="3"/>
      <c r="J29" s="3"/>
      <c r="K29" s="97">
        <f>Elementclusters!N41</f>
        <v>0</v>
      </c>
    </row>
    <row r="30" spans="2:11">
      <c r="B30" t="s">
        <v>22</v>
      </c>
      <c r="C30" s="3"/>
      <c r="D30" s="3"/>
      <c r="F30" s="3"/>
      <c r="G30" s="3"/>
      <c r="H30" s="3"/>
      <c r="I30" s="3"/>
      <c r="J30" s="3"/>
      <c r="K30" s="97">
        <f>Elementclusters!N42</f>
        <v>0</v>
      </c>
    </row>
    <row r="31" spans="2:11">
      <c r="B31" t="s">
        <v>24</v>
      </c>
      <c r="C31" s="3"/>
      <c r="D31" s="3"/>
      <c r="F31" s="3"/>
      <c r="G31" s="3"/>
      <c r="H31" s="3"/>
      <c r="I31" s="3"/>
      <c r="J31" s="3"/>
      <c r="K31" s="97">
        <f>Elementclusters!N43</f>
        <v>0</v>
      </c>
    </row>
    <row r="32" spans="2:11">
      <c r="B32" t="s">
        <v>26</v>
      </c>
      <c r="C32" s="3"/>
      <c r="D32" s="3"/>
      <c r="F32" s="3"/>
      <c r="G32" s="3"/>
      <c r="H32" s="3"/>
      <c r="I32" s="3"/>
      <c r="J32" s="3"/>
      <c r="K32" s="97">
        <f>Elementclusters!N44</f>
        <v>16.443894071000003</v>
      </c>
    </row>
    <row r="33" spans="2:13">
      <c r="B33" t="s">
        <v>28</v>
      </c>
      <c r="C33" s="3"/>
      <c r="D33" s="3"/>
      <c r="F33" s="3"/>
      <c r="G33" s="3"/>
      <c r="H33" s="3"/>
      <c r="I33" s="3"/>
      <c r="J33" s="3"/>
      <c r="K33" s="97">
        <f>Elementclusters!N45</f>
        <v>24.665841106499801</v>
      </c>
    </row>
    <row r="34" spans="2:13">
      <c r="B34" t="s">
        <v>30</v>
      </c>
      <c r="C34" s="3"/>
      <c r="D34" s="3"/>
      <c r="F34" s="3"/>
      <c r="G34" s="3"/>
      <c r="H34" s="3"/>
      <c r="I34" s="3"/>
      <c r="J34" s="3"/>
      <c r="K34" s="97">
        <f>Elementclusters!N46</f>
        <v>0</v>
      </c>
    </row>
    <row r="35" spans="2:13">
      <c r="B35" t="s">
        <v>31</v>
      </c>
      <c r="C35" s="3"/>
      <c r="D35" s="3"/>
      <c r="F35" s="3"/>
      <c r="G35" s="3"/>
      <c r="H35" s="3"/>
      <c r="I35" s="3"/>
      <c r="J35" s="3"/>
      <c r="K35" s="97">
        <f>Elementclusters!N47</f>
        <v>0</v>
      </c>
    </row>
    <row r="36" spans="2:13">
      <c r="B36" t="s">
        <v>32</v>
      </c>
      <c r="C36" s="3"/>
      <c r="D36" s="3"/>
      <c r="F36" s="3"/>
      <c r="G36" s="3"/>
      <c r="H36" s="3"/>
      <c r="I36" s="3"/>
      <c r="J36" s="3"/>
      <c r="K36" s="97">
        <f>Elementclusters!N48</f>
        <v>0</v>
      </c>
    </row>
    <row r="37" spans="2:13">
      <c r="B37" t="s">
        <v>33</v>
      </c>
      <c r="C37" s="3"/>
      <c r="D37" s="3"/>
      <c r="F37" s="3"/>
      <c r="G37" s="3"/>
      <c r="H37" s="3"/>
      <c r="I37" s="3"/>
      <c r="J37" s="3"/>
      <c r="K37" s="97">
        <f>Elementclusters!N49</f>
        <v>0</v>
      </c>
    </row>
    <row r="38" spans="2:13">
      <c r="B38" t="s">
        <v>34</v>
      </c>
      <c r="C38" s="3"/>
      <c r="D38" s="3"/>
      <c r="F38" s="3"/>
      <c r="G38" s="3"/>
      <c r="H38" s="3"/>
      <c r="I38" s="3"/>
      <c r="J38" s="3"/>
      <c r="K38" s="97">
        <f>Elementclusters!N50</f>
        <v>0</v>
      </c>
    </row>
    <row r="39" spans="2:13">
      <c r="B39" t="s">
        <v>35</v>
      </c>
      <c r="C39" s="3"/>
      <c r="D39" s="3"/>
      <c r="F39" s="3"/>
      <c r="G39" s="3"/>
      <c r="H39" s="3"/>
      <c r="I39" s="3"/>
      <c r="J39" s="3"/>
      <c r="K39" s="97">
        <f>Elementclusters!N51</f>
        <v>0</v>
      </c>
    </row>
    <row r="40" spans="2:13">
      <c r="B40" t="s">
        <v>36</v>
      </c>
      <c r="C40" s="3"/>
      <c r="D40" s="3"/>
      <c r="F40" s="3"/>
      <c r="G40" s="3"/>
      <c r="H40" s="3"/>
      <c r="I40" s="3"/>
      <c r="J40" s="3"/>
      <c r="K40" s="97">
        <f>Elementclusters!N52</f>
        <v>0</v>
      </c>
    </row>
    <row r="41" spans="2:13">
      <c r="B41" t="s">
        <v>37</v>
      </c>
      <c r="C41" s="3"/>
      <c r="D41" s="3"/>
      <c r="F41" s="3"/>
      <c r="G41" s="3"/>
      <c r="H41" s="3"/>
      <c r="I41" s="3"/>
      <c r="J41" s="3"/>
      <c r="K41" s="97">
        <f>Elementclusters!N53</f>
        <v>0</v>
      </c>
    </row>
    <row r="42" spans="2:13">
      <c r="B42" t="s">
        <v>38</v>
      </c>
      <c r="C42" s="3"/>
      <c r="D42" s="3"/>
      <c r="F42" s="3"/>
      <c r="G42" s="3"/>
      <c r="H42" s="3"/>
      <c r="I42" s="3"/>
      <c r="J42" s="3"/>
      <c r="K42" s="97">
        <f>Elementclusters!N54</f>
        <v>0</v>
      </c>
    </row>
    <row r="43" spans="2:13" ht="15" thickBot="1">
      <c r="B43" s="7" t="s">
        <v>39</v>
      </c>
      <c r="C43" s="8"/>
      <c r="D43" s="8"/>
      <c r="E43" s="7"/>
      <c r="F43" s="8"/>
      <c r="G43" s="8"/>
      <c r="H43" s="8"/>
      <c r="I43" s="8"/>
      <c r="J43" s="8"/>
      <c r="K43" s="8">
        <f>Elementclusters!N55</f>
        <v>0</v>
      </c>
    </row>
    <row r="44" spans="2:13">
      <c r="B44" s="1" t="s">
        <v>585</v>
      </c>
      <c r="C44" s="3"/>
      <c r="D44" s="3"/>
      <c r="F44" s="3"/>
      <c r="G44" s="3"/>
      <c r="H44" s="3"/>
      <c r="I44" s="3"/>
      <c r="J44" s="3"/>
      <c r="K44" s="3">
        <f>SUM(K29:K43)</f>
        <v>41.1097351774998</v>
      </c>
    </row>
    <row r="45" spans="2:13">
      <c r="C45" s="3"/>
      <c r="D45" s="3"/>
      <c r="F45" s="3"/>
      <c r="G45" s="3"/>
      <c r="H45" s="3"/>
      <c r="I45" s="3"/>
      <c r="J45" s="3"/>
    </row>
    <row r="46" spans="2:13">
      <c r="B46" t="s">
        <v>454</v>
      </c>
      <c r="C46" s="3"/>
      <c r="D46" s="3"/>
      <c r="F46" s="3"/>
      <c r="G46" s="3"/>
      <c r="H46" s="3"/>
      <c r="I46" s="3"/>
      <c r="J46" s="3"/>
    </row>
    <row r="47" spans="2:13">
      <c r="B47" t="s">
        <v>455</v>
      </c>
      <c r="C47" s="3">
        <v>13</v>
      </c>
      <c r="D47" s="3">
        <v>11</v>
      </c>
      <c r="F47" s="3">
        <f t="shared" ref="F47:F54" si="8">IF(OR($F$3="",$C$3="",$D$3="",$D$3=$C$3),"",MIN(MAX($C47+($D47-$C47)*(($F$3-$C$3)/($D$3-$C$3)),MAX($C47*0.97,$D47*0.97)),MAX($C47,$D47)*1.05))</f>
        <v>12.61</v>
      </c>
      <c r="G47" s="3"/>
      <c r="H47" s="3">
        <f t="shared" ref="H47:H54" si="9">0.85*I47</f>
        <v>9.0694999999999997</v>
      </c>
      <c r="I47" s="3">
        <f t="shared" ref="I47:I54" si="10">IF(OR($F$3="", $C$3="", $D$3="", $D$3=$C$3, $C$3&lt;=0, $D$3&lt;=0), "", IF(OR($C47&lt;=0, $D47&lt;=0), MIN(MAX($C47 + ($D47-$C47)*(($F$3-$C$3)/($D$3-$C$3)), MIN($C47,$D47)*0.97), MAX($C47,$D47)*1.05), MIN(MAX($C47 * (($F$3/$C$3) ^ (LOG($D47/$C47) / LOG($D$3/$C$3))), MIN($C47,$D47)*0.97), MAX($C47,$D47)*1.05)))</f>
        <v>10.67</v>
      </c>
      <c r="J47" s="3">
        <f>1.15*I47</f>
        <v>12.270499999999998</v>
      </c>
      <c r="K47" s="3">
        <f>Elementclusters!N73</f>
        <v>10.67</v>
      </c>
      <c r="M47" s="3"/>
    </row>
    <row r="48" spans="2:13">
      <c r="B48" t="s">
        <v>456</v>
      </c>
      <c r="C48" s="3">
        <v>6</v>
      </c>
      <c r="D48" s="3">
        <v>5</v>
      </c>
      <c r="F48" s="3">
        <f t="shared" si="8"/>
        <v>5.82</v>
      </c>
      <c r="G48" s="3"/>
      <c r="H48" s="3">
        <f t="shared" si="9"/>
        <v>4.1224999999999996</v>
      </c>
      <c r="I48" s="3">
        <f t="shared" si="10"/>
        <v>4.8499999999999996</v>
      </c>
      <c r="J48" s="3">
        <f t="shared" ref="J48:J54" si="11">1.15*I48</f>
        <v>5.5774999999999988</v>
      </c>
      <c r="K48" s="3">
        <f>Elementclusters!N74</f>
        <v>4.8499999999999996</v>
      </c>
      <c r="M48" s="3"/>
    </row>
    <row r="49" spans="2:11">
      <c r="B49" t="s">
        <v>457</v>
      </c>
      <c r="C49" s="3">
        <v>54</v>
      </c>
      <c r="D49" s="3">
        <v>47</v>
      </c>
      <c r="F49" s="3">
        <f t="shared" si="8"/>
        <v>52.379999999999995</v>
      </c>
      <c r="G49" s="3"/>
      <c r="H49" s="3">
        <f t="shared" si="9"/>
        <v>38.751499999999993</v>
      </c>
      <c r="I49" s="3">
        <f t="shared" si="10"/>
        <v>45.589999999999996</v>
      </c>
      <c r="J49" s="3">
        <f t="shared" si="11"/>
        <v>52.428499999999993</v>
      </c>
      <c r="K49" s="3">
        <f>Elementclusters!N75</f>
        <v>47.413599999999995</v>
      </c>
    </row>
    <row r="50" spans="2:11">
      <c r="B50" t="s">
        <v>458</v>
      </c>
      <c r="C50" s="3">
        <v>13</v>
      </c>
      <c r="D50" s="3">
        <v>13</v>
      </c>
      <c r="F50" s="3">
        <f t="shared" si="8"/>
        <v>13</v>
      </c>
      <c r="G50" s="3"/>
      <c r="H50" s="3">
        <f t="shared" si="9"/>
        <v>11.049999999999999</v>
      </c>
      <c r="I50" s="3">
        <f t="shared" si="10"/>
        <v>13</v>
      </c>
      <c r="J50" s="3">
        <f t="shared" si="11"/>
        <v>14.95</v>
      </c>
      <c r="K50" s="3">
        <f>Elementclusters!N76</f>
        <v>11.96</v>
      </c>
    </row>
    <row r="51" spans="2:11">
      <c r="B51" t="s">
        <v>459</v>
      </c>
      <c r="C51" s="3">
        <v>0</v>
      </c>
      <c r="D51" s="3">
        <v>0</v>
      </c>
      <c r="F51" s="3">
        <f t="shared" si="8"/>
        <v>0</v>
      </c>
      <c r="G51" s="3"/>
      <c r="H51" s="3">
        <f t="shared" si="9"/>
        <v>0</v>
      </c>
      <c r="I51" s="3">
        <f t="shared" si="10"/>
        <v>0</v>
      </c>
      <c r="J51" s="3">
        <f t="shared" si="11"/>
        <v>0</v>
      </c>
      <c r="K51" s="3">
        <f>Elementclusters!N77</f>
        <v>0</v>
      </c>
    </row>
    <row r="52" spans="2:11">
      <c r="B52" t="s">
        <v>460</v>
      </c>
      <c r="C52" s="3">
        <v>0</v>
      </c>
      <c r="D52" s="3">
        <v>0</v>
      </c>
      <c r="F52" s="3">
        <f t="shared" si="8"/>
        <v>0</v>
      </c>
      <c r="G52" s="3"/>
      <c r="H52" s="3">
        <f t="shared" si="9"/>
        <v>0</v>
      </c>
      <c r="I52" s="3">
        <f t="shared" si="10"/>
        <v>0</v>
      </c>
      <c r="J52" s="3">
        <f t="shared" si="11"/>
        <v>0</v>
      </c>
      <c r="K52" s="3">
        <f>Elementclusters!N78</f>
        <v>0</v>
      </c>
    </row>
    <row r="53" spans="2:11" ht="15" customHeight="1" thickBot="1">
      <c r="B53" s="7" t="s">
        <v>461</v>
      </c>
      <c r="C53" s="8">
        <v>15</v>
      </c>
      <c r="D53" s="8">
        <v>14</v>
      </c>
      <c r="F53" s="8">
        <f t="shared" si="8"/>
        <v>14.549999999999999</v>
      </c>
      <c r="G53" s="8"/>
      <c r="H53" s="8">
        <f t="shared" si="9"/>
        <v>11.542999999999999</v>
      </c>
      <c r="I53" s="8">
        <f t="shared" si="10"/>
        <v>13.58</v>
      </c>
      <c r="J53" s="8">
        <f t="shared" si="11"/>
        <v>15.616999999999999</v>
      </c>
      <c r="K53" s="8">
        <f>Elementclusters!N79</f>
        <v>13.58</v>
      </c>
    </row>
    <row r="54" spans="2:11">
      <c r="B54" s="1" t="s">
        <v>587</v>
      </c>
      <c r="C54" s="5">
        <v>100</v>
      </c>
      <c r="D54" s="5">
        <v>91</v>
      </c>
      <c r="F54" s="5">
        <f t="shared" si="8"/>
        <v>97</v>
      </c>
      <c r="G54" s="5"/>
      <c r="H54" s="5">
        <f t="shared" si="9"/>
        <v>75.029499999999999</v>
      </c>
      <c r="I54" s="5">
        <f t="shared" si="10"/>
        <v>88.27</v>
      </c>
      <c r="J54" s="5">
        <f t="shared" si="11"/>
        <v>101.51049999999999</v>
      </c>
      <c r="K54" s="5">
        <f>Elementclusters!N80</f>
        <v>88.47359999999999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50"/>
  <sheetViews>
    <sheetView topLeftCell="A4" workbookViewId="0">
      <selection activeCell="D14" sqref="D14"/>
    </sheetView>
  </sheetViews>
  <sheetFormatPr defaultRowHeight="14.45"/>
  <cols>
    <col min="1" max="1" width="20.85546875" customWidth="1"/>
    <col min="2" max="2" width="58.85546875" bestFit="1" customWidth="1"/>
    <col min="3" max="3" width="21.140625" customWidth="1"/>
    <col min="4" max="4" width="15.140625" customWidth="1"/>
    <col min="5" max="5" width="12.85546875" bestFit="1" customWidth="1"/>
    <col min="6" max="44" width="11.28515625" bestFit="1" customWidth="1"/>
    <col min="45" max="45" width="20.5703125" bestFit="1" customWidth="1"/>
  </cols>
  <sheetData>
    <row r="1" spans="1:45" ht="15.95" customHeight="1">
      <c r="A1" s="9" t="s">
        <v>588</v>
      </c>
    </row>
    <row r="3" spans="1:45">
      <c r="A3" t="s">
        <v>589</v>
      </c>
      <c r="B3" s="10">
        <v>40</v>
      </c>
      <c r="C3" s="10"/>
    </row>
    <row r="4" spans="1:45">
      <c r="A4" t="s">
        <v>590</v>
      </c>
      <c r="B4" s="10">
        <v>0.04</v>
      </c>
      <c r="C4" s="10"/>
    </row>
    <row r="5" spans="1:45">
      <c r="A5" t="s">
        <v>591</v>
      </c>
      <c r="B5" s="10">
        <v>0.03</v>
      </c>
      <c r="C5" s="10"/>
    </row>
    <row r="6" spans="1:45">
      <c r="A6" t="s">
        <v>592</v>
      </c>
      <c r="B6" s="10">
        <f>INPUT!E3</f>
        <v>0</v>
      </c>
      <c r="C6" s="10"/>
    </row>
    <row r="7" spans="1:45">
      <c r="A7" s="11" t="s">
        <v>593</v>
      </c>
      <c r="E7">
        <f>1</f>
        <v>1</v>
      </c>
      <c r="F7" s="25">
        <f>1/(1+$B$4)^1</f>
        <v>0.96153846153846145</v>
      </c>
      <c r="G7" s="25">
        <f>1/(1+$B$4)^2</f>
        <v>0.92455621301775137</v>
      </c>
      <c r="H7" s="25">
        <f>1/(1+$B$4)^3</f>
        <v>0.88899635867091487</v>
      </c>
      <c r="I7" s="25">
        <f>1/(1+$B$4)^4</f>
        <v>0.85480419102972571</v>
      </c>
      <c r="J7" s="25">
        <f>1/(1+$B$4)^5</f>
        <v>0.82192710675935154</v>
      </c>
      <c r="K7" s="25">
        <f>1/(1+$B$4)^6</f>
        <v>0.79031452573014571</v>
      </c>
      <c r="L7" s="25">
        <f>1/(1+$B$4)^7</f>
        <v>0.75991781320206331</v>
      </c>
      <c r="M7" s="25">
        <f>1/(1+$B$4)^8</f>
        <v>0.73069020500198378</v>
      </c>
      <c r="N7" s="25">
        <f>1/(1+$B$4)^9</f>
        <v>0.70258673557883045</v>
      </c>
      <c r="O7" s="25">
        <f>1/(1+$B$4)^10</f>
        <v>0.67556416882579851</v>
      </c>
      <c r="P7" s="25">
        <f>1/(1+$B$4)^11</f>
        <v>0.6495809315632679</v>
      </c>
      <c r="Q7" s="25">
        <f>1/(1+$B$4)^12</f>
        <v>0.62459704958006512</v>
      </c>
      <c r="R7" s="25">
        <f>1/(1+$B$4)^13</f>
        <v>0.600574086134678</v>
      </c>
      <c r="S7" s="25">
        <f>1/(1+$B$4)^14</f>
        <v>0.57747508282180582</v>
      </c>
      <c r="T7" s="25">
        <f>1/(1+$B$4)^15</f>
        <v>0.55526450271327477</v>
      </c>
      <c r="U7" s="25">
        <f>1/(1+$B$4)^16</f>
        <v>0.53390817568584104</v>
      </c>
      <c r="V7" s="25">
        <f>1/(1+$B$4)^17</f>
        <v>0.51337324585177024</v>
      </c>
      <c r="W7" s="25">
        <f>1/(1+$B$4)^18</f>
        <v>0.49362812101131748</v>
      </c>
      <c r="X7" s="25">
        <f>1/(1+$B$4)^19</f>
        <v>0.47464242404934376</v>
      </c>
      <c r="Y7" s="25">
        <f>1/(1+$B$4)^20</f>
        <v>0.45638694620129205</v>
      </c>
      <c r="Z7" s="25">
        <f>1/(1+$B$4)^21</f>
        <v>0.43883360211662686</v>
      </c>
      <c r="AA7" s="25">
        <f>1/(1+$B$4)^22</f>
        <v>0.42195538665060278</v>
      </c>
      <c r="AB7" s="25">
        <f>1/(1+$B$4)^23</f>
        <v>0.40572633331788732</v>
      </c>
      <c r="AC7" s="25">
        <f>1/(1+$B$4)^24</f>
        <v>0.39012147434412242</v>
      </c>
      <c r="AD7" s="25">
        <f>1/(1+$B$4)^25</f>
        <v>0.37511680225396377</v>
      </c>
      <c r="AE7" s="25">
        <f>1/(1+$B$4)^26</f>
        <v>0.36068923293650368</v>
      </c>
      <c r="AF7" s="25">
        <f>1/(1+$B$4)^27</f>
        <v>0.3468165701312535</v>
      </c>
      <c r="AG7" s="25">
        <f>1/(1+$B$4)^28</f>
        <v>0.3334774712800514</v>
      </c>
      <c r="AH7" s="25">
        <f>1/(1+$B$4)^29</f>
        <v>0.32065141469235708</v>
      </c>
      <c r="AI7" s="25">
        <f>1/(1+$B$4)^30</f>
        <v>0.30831866797342034</v>
      </c>
      <c r="AJ7" s="25">
        <f>1/(1+$B$4)^31</f>
        <v>0.29646025766675027</v>
      </c>
      <c r="AK7" s="25">
        <f>1/(1+$B$4)^32</f>
        <v>0.28505794006418295</v>
      </c>
      <c r="AL7" s="25">
        <f>1/(1+$B$4)^33</f>
        <v>0.27409417313863743</v>
      </c>
      <c r="AM7" s="25">
        <f>1/(1+$B$4)^34</f>
        <v>0.26355208955638215</v>
      </c>
      <c r="AN7" s="25">
        <f>1/(1+$B$4)^35</f>
        <v>0.25341547072729048</v>
      </c>
      <c r="AO7" s="25">
        <f>1/(1+$B$4)^36</f>
        <v>0.24366872185316396</v>
      </c>
      <c r="AP7" s="25">
        <f>1/(1+$B$4)^37</f>
        <v>0.23429684793573452</v>
      </c>
      <c r="AQ7" s="25">
        <f>1/(1+$B$4)^38</f>
        <v>0.22528543070743706</v>
      </c>
      <c r="AR7" s="25">
        <f>1/(1+$B$4)^39</f>
        <v>0.21662060644945874</v>
      </c>
      <c r="AS7" s="25"/>
    </row>
    <row r="8" spans="1:45">
      <c r="A8" s="11" t="s">
        <v>594</v>
      </c>
      <c r="B8" s="11" t="s">
        <v>595</v>
      </c>
      <c r="C8" s="11"/>
      <c r="D8" s="11" t="s">
        <v>596</v>
      </c>
      <c r="E8" s="11" t="s">
        <v>597</v>
      </c>
      <c r="F8" s="11" t="s">
        <v>598</v>
      </c>
      <c r="G8" s="11" t="s">
        <v>599</v>
      </c>
      <c r="H8" s="11" t="s">
        <v>600</v>
      </c>
      <c r="I8" s="11" t="s">
        <v>601</v>
      </c>
      <c r="J8" s="11" t="s">
        <v>602</v>
      </c>
      <c r="K8" s="11" t="s">
        <v>603</v>
      </c>
      <c r="L8" s="11" t="s">
        <v>604</v>
      </c>
      <c r="M8" s="11" t="s">
        <v>605</v>
      </c>
      <c r="N8" s="11" t="s">
        <v>606</v>
      </c>
      <c r="O8" s="11" t="s">
        <v>607</v>
      </c>
      <c r="P8" s="11" t="s">
        <v>608</v>
      </c>
      <c r="Q8" s="11" t="s">
        <v>609</v>
      </c>
      <c r="R8" s="11" t="s">
        <v>610</v>
      </c>
      <c r="S8" s="11" t="s">
        <v>611</v>
      </c>
      <c r="T8" s="11" t="s">
        <v>612</v>
      </c>
      <c r="U8" s="11" t="s">
        <v>613</v>
      </c>
      <c r="V8" s="11" t="s">
        <v>614</v>
      </c>
      <c r="W8" s="11" t="s">
        <v>615</v>
      </c>
      <c r="X8" s="11" t="s">
        <v>616</v>
      </c>
      <c r="Y8" s="11" t="s">
        <v>617</v>
      </c>
      <c r="Z8" s="11" t="s">
        <v>618</v>
      </c>
      <c r="AA8" s="11" t="s">
        <v>619</v>
      </c>
      <c r="AB8" s="11" t="s">
        <v>620</v>
      </c>
      <c r="AC8" s="11" t="s">
        <v>621</v>
      </c>
      <c r="AD8" s="11" t="s">
        <v>622</v>
      </c>
      <c r="AE8" s="11" t="s">
        <v>623</v>
      </c>
      <c r="AF8" s="11" t="s">
        <v>624</v>
      </c>
      <c r="AG8" s="11" t="s">
        <v>625</v>
      </c>
      <c r="AH8" s="11" t="s">
        <v>626</v>
      </c>
      <c r="AI8" s="11" t="s">
        <v>627</v>
      </c>
      <c r="AJ8" s="11" t="s">
        <v>628</v>
      </c>
      <c r="AK8" s="11" t="s">
        <v>629</v>
      </c>
      <c r="AL8" s="11" t="s">
        <v>630</v>
      </c>
      <c r="AM8" s="11" t="s">
        <v>631</v>
      </c>
      <c r="AN8" s="11" t="s">
        <v>632</v>
      </c>
      <c r="AO8" s="11" t="s">
        <v>633</v>
      </c>
      <c r="AP8" s="11" t="s">
        <v>634</v>
      </c>
      <c r="AQ8" s="11" t="s">
        <v>635</v>
      </c>
      <c r="AR8" s="11" t="s">
        <v>636</v>
      </c>
      <c r="AS8" s="11" t="s">
        <v>637</v>
      </c>
    </row>
    <row r="9" spans="1:45">
      <c r="A9" s="11"/>
      <c r="B9" s="12" t="s">
        <v>638</v>
      </c>
      <c r="C9" s="12"/>
      <c r="D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row>
    <row r="10" spans="1:45">
      <c r="A10">
        <v>1</v>
      </c>
      <c r="B10" t="str">
        <f>'PO BASIS'!$B$5</f>
        <v>Bouwkundige werken</v>
      </c>
      <c r="D10" s="3">
        <f>'PO BASIS'!$I$5</f>
        <v>1038.8699999999999</v>
      </c>
      <c r="E10" s="3">
        <f>IF($D10="", "", $D10*$B$6)</f>
        <v>0</v>
      </c>
      <c r="F10" s="3">
        <f>0</f>
        <v>0</v>
      </c>
      <c r="G10" s="3">
        <f>0</f>
        <v>0</v>
      </c>
      <c r="H10" s="3">
        <f>0</f>
        <v>0</v>
      </c>
      <c r="I10" s="3">
        <f>0</f>
        <v>0</v>
      </c>
      <c r="J10" s="3">
        <f>0</f>
        <v>0</v>
      </c>
      <c r="K10" s="3">
        <f>0</f>
        <v>0</v>
      </c>
      <c r="L10" s="3">
        <f>0</f>
        <v>0</v>
      </c>
      <c r="M10" s="3">
        <f>0</f>
        <v>0</v>
      </c>
      <c r="N10" s="3">
        <f>0</f>
        <v>0</v>
      </c>
      <c r="O10" s="3">
        <f>0</f>
        <v>0</v>
      </c>
      <c r="P10" s="3">
        <f>0</f>
        <v>0</v>
      </c>
      <c r="Q10" s="3">
        <f>0</f>
        <v>0</v>
      </c>
      <c r="R10" s="3">
        <f>0</f>
        <v>0</v>
      </c>
      <c r="S10" s="3">
        <f>0</f>
        <v>0</v>
      </c>
      <c r="T10" s="3">
        <f>0</f>
        <v>0</v>
      </c>
      <c r="U10" s="3">
        <f>0</f>
        <v>0</v>
      </c>
      <c r="V10" s="3">
        <f>0</f>
        <v>0</v>
      </c>
      <c r="W10" s="3">
        <f>0</f>
        <v>0</v>
      </c>
      <c r="X10" s="3">
        <f>0</f>
        <v>0</v>
      </c>
      <c r="Y10" s="3">
        <f>0</f>
        <v>0</v>
      </c>
      <c r="Z10" s="3">
        <f>0</f>
        <v>0</v>
      </c>
      <c r="AA10" s="3">
        <f>0</f>
        <v>0</v>
      </c>
      <c r="AB10" s="3">
        <f>0</f>
        <v>0</v>
      </c>
      <c r="AC10" s="3">
        <f>0</f>
        <v>0</v>
      </c>
      <c r="AD10" s="3">
        <f>0</f>
        <v>0</v>
      </c>
      <c r="AE10" s="3">
        <f>0</f>
        <v>0</v>
      </c>
      <c r="AF10" s="3">
        <f>0</f>
        <v>0</v>
      </c>
      <c r="AG10" s="3">
        <f>0</f>
        <v>0</v>
      </c>
      <c r="AH10" s="3">
        <f>0</f>
        <v>0</v>
      </c>
      <c r="AI10" s="3">
        <f>0</f>
        <v>0</v>
      </c>
      <c r="AJ10" s="3">
        <f>0</f>
        <v>0</v>
      </c>
      <c r="AK10" s="3">
        <f>0</f>
        <v>0</v>
      </c>
      <c r="AL10" s="3">
        <f>0</f>
        <v>0</v>
      </c>
      <c r="AM10" s="3">
        <f>0</f>
        <v>0</v>
      </c>
      <c r="AN10" s="3">
        <f>0</f>
        <v>0</v>
      </c>
      <c r="AO10" s="3">
        <f>0</f>
        <v>0</v>
      </c>
      <c r="AP10" s="3">
        <f>0</f>
        <v>0</v>
      </c>
      <c r="AQ10" s="3">
        <f>0</f>
        <v>0</v>
      </c>
      <c r="AR10" s="3">
        <f>0</f>
        <v>0</v>
      </c>
      <c r="AS10" s="3">
        <f>IF($D10="", "", SUMPRODUCT(E10:AR10, E7:AR7))</f>
        <v>0</v>
      </c>
    </row>
    <row r="11" spans="1:45">
      <c r="A11">
        <v>2</v>
      </c>
      <c r="B11" t="str">
        <f>'PO BASIS'!$B$6</f>
        <v>Installatietechnische werken</v>
      </c>
      <c r="D11" s="3">
        <f>'PO BASIS'!$I$6</f>
        <v>511.19</v>
      </c>
      <c r="E11" s="3">
        <f>IF($D11="", "", $D11*$B$6)</f>
        <v>0</v>
      </c>
      <c r="F11" s="3">
        <f>0</f>
        <v>0</v>
      </c>
      <c r="G11" s="3">
        <f>0</f>
        <v>0</v>
      </c>
      <c r="H11" s="3">
        <f>0</f>
        <v>0</v>
      </c>
      <c r="I11" s="3">
        <f>0</f>
        <v>0</v>
      </c>
      <c r="J11" s="3">
        <f>0</f>
        <v>0</v>
      </c>
      <c r="K11" s="3">
        <f>0</f>
        <v>0</v>
      </c>
      <c r="L11" s="3">
        <f>0</f>
        <v>0</v>
      </c>
      <c r="M11" s="3">
        <f>0</f>
        <v>0</v>
      </c>
      <c r="N11" s="3">
        <f>0</f>
        <v>0</v>
      </c>
      <c r="O11" s="3">
        <f>0</f>
        <v>0</v>
      </c>
      <c r="P11" s="3">
        <f>0</f>
        <v>0</v>
      </c>
      <c r="Q11" s="3">
        <f>0</f>
        <v>0</v>
      </c>
      <c r="R11" s="3">
        <f>0</f>
        <v>0</v>
      </c>
      <c r="S11" s="3">
        <f>0</f>
        <v>0</v>
      </c>
      <c r="T11" s="3">
        <f>0</f>
        <v>0</v>
      </c>
      <c r="U11" s="3">
        <f>0</f>
        <v>0</v>
      </c>
      <c r="V11" s="3">
        <f>0</f>
        <v>0</v>
      </c>
      <c r="W11" s="3">
        <f>0</f>
        <v>0</v>
      </c>
      <c r="X11" s="3">
        <f>0</f>
        <v>0</v>
      </c>
      <c r="Y11" s="3">
        <f>0</f>
        <v>0</v>
      </c>
      <c r="Z11" s="3">
        <f>0</f>
        <v>0</v>
      </c>
      <c r="AA11" s="3">
        <f>0</f>
        <v>0</v>
      </c>
      <c r="AB11" s="3">
        <f>0</f>
        <v>0</v>
      </c>
      <c r="AC11" s="3">
        <f>0</f>
        <v>0</v>
      </c>
      <c r="AD11" s="3">
        <f>0</f>
        <v>0</v>
      </c>
      <c r="AE11" s="3">
        <f>0</f>
        <v>0</v>
      </c>
      <c r="AF11" s="3">
        <f>0</f>
        <v>0</v>
      </c>
      <c r="AG11" s="3">
        <f>0</f>
        <v>0</v>
      </c>
      <c r="AH11" s="3">
        <f>0</f>
        <v>0</v>
      </c>
      <c r="AI11" s="3">
        <f>0</f>
        <v>0</v>
      </c>
      <c r="AJ11" s="3">
        <f>0</f>
        <v>0</v>
      </c>
      <c r="AK11" s="3">
        <f>0</f>
        <v>0</v>
      </c>
      <c r="AL11" s="3">
        <f>0</f>
        <v>0</v>
      </c>
      <c r="AM11" s="3">
        <f>0</f>
        <v>0</v>
      </c>
      <c r="AN11" s="3">
        <f>0</f>
        <v>0</v>
      </c>
      <c r="AO11" s="3">
        <f>0</f>
        <v>0</v>
      </c>
      <c r="AP11" s="3">
        <f>0</f>
        <v>0</v>
      </c>
      <c r="AQ11" s="3">
        <f>0</f>
        <v>0</v>
      </c>
      <c r="AR11" s="3">
        <f>0</f>
        <v>0</v>
      </c>
      <c r="AS11" s="3">
        <f>IF($D11="", "", SUMPRODUCT(E11:AR11, E7:AR7))</f>
        <v>0</v>
      </c>
    </row>
    <row r="12" spans="1:45">
      <c r="A12">
        <v>3</v>
      </c>
      <c r="B12" t="str">
        <f>'PO BASIS'!$B$7</f>
        <v>Vaste inrichting</v>
      </c>
      <c r="D12" s="3">
        <f>'PO BASIS'!$I$7</f>
        <v>34.92</v>
      </c>
      <c r="E12" s="3">
        <f>IF($D12="", "", $D12*$B$6)</f>
        <v>0</v>
      </c>
      <c r="F12" s="3">
        <f>0</f>
        <v>0</v>
      </c>
      <c r="G12" s="3">
        <f>0</f>
        <v>0</v>
      </c>
      <c r="H12" s="3">
        <f>0</f>
        <v>0</v>
      </c>
      <c r="I12" s="3">
        <f>0</f>
        <v>0</v>
      </c>
      <c r="J12" s="3">
        <f>0</f>
        <v>0</v>
      </c>
      <c r="K12" s="3">
        <f>0</f>
        <v>0</v>
      </c>
      <c r="L12" s="3">
        <f>0</f>
        <v>0</v>
      </c>
      <c r="M12" s="3">
        <f>0</f>
        <v>0</v>
      </c>
      <c r="N12" s="3">
        <f>0</f>
        <v>0</v>
      </c>
      <c r="O12" s="3">
        <f>0</f>
        <v>0</v>
      </c>
      <c r="P12" s="3">
        <f>0</f>
        <v>0</v>
      </c>
      <c r="Q12" s="3">
        <f>0</f>
        <v>0</v>
      </c>
      <c r="R12" s="3">
        <f>0</f>
        <v>0</v>
      </c>
      <c r="S12" s="3">
        <f>0</f>
        <v>0</v>
      </c>
      <c r="T12" s="3">
        <f>0</f>
        <v>0</v>
      </c>
      <c r="U12" s="3">
        <f>0</f>
        <v>0</v>
      </c>
      <c r="V12" s="3">
        <f>0</f>
        <v>0</v>
      </c>
      <c r="W12" s="3">
        <f>0</f>
        <v>0</v>
      </c>
      <c r="X12" s="3">
        <f>0</f>
        <v>0</v>
      </c>
      <c r="Y12" s="3">
        <f>0</f>
        <v>0</v>
      </c>
      <c r="Z12" s="3">
        <f>0</f>
        <v>0</v>
      </c>
      <c r="AA12" s="3">
        <f>0</f>
        <v>0</v>
      </c>
      <c r="AB12" s="3">
        <f>0</f>
        <v>0</v>
      </c>
      <c r="AC12" s="3">
        <f>0</f>
        <v>0</v>
      </c>
      <c r="AD12" s="3">
        <f>0</f>
        <v>0</v>
      </c>
      <c r="AE12" s="3">
        <f>0</f>
        <v>0</v>
      </c>
      <c r="AF12" s="3">
        <f>0</f>
        <v>0</v>
      </c>
      <c r="AG12" s="3">
        <f>0</f>
        <v>0</v>
      </c>
      <c r="AH12" s="3">
        <f>0</f>
        <v>0</v>
      </c>
      <c r="AI12" s="3">
        <f>0</f>
        <v>0</v>
      </c>
      <c r="AJ12" s="3">
        <f>0</f>
        <v>0</v>
      </c>
      <c r="AK12" s="3">
        <f>0</f>
        <v>0</v>
      </c>
      <c r="AL12" s="3">
        <f>0</f>
        <v>0</v>
      </c>
      <c r="AM12" s="3">
        <f>0</f>
        <v>0</v>
      </c>
      <c r="AN12" s="3">
        <f>0</f>
        <v>0</v>
      </c>
      <c r="AO12" s="3">
        <f>0</f>
        <v>0</v>
      </c>
      <c r="AP12" s="3">
        <f>0</f>
        <v>0</v>
      </c>
      <c r="AQ12" s="3">
        <f>0</f>
        <v>0</v>
      </c>
      <c r="AR12" s="3">
        <f>0</f>
        <v>0</v>
      </c>
      <c r="AS12" s="3">
        <f>IF($D12="", "", SUMPRODUCT(E12:AR12, E7:AR7))</f>
        <v>0</v>
      </c>
    </row>
    <row r="13" spans="1:45">
      <c r="A13">
        <v>4</v>
      </c>
      <c r="B13" t="str">
        <f>'PO BASIS'!$B$8</f>
        <v>Terrein</v>
      </c>
      <c r="D13" s="3">
        <f>'PO BASIS'!$I$8</f>
        <v>99.75</v>
      </c>
      <c r="E13" s="3">
        <f>IF($D13="", "", $D13*$B$6)</f>
        <v>0</v>
      </c>
      <c r="F13" s="3">
        <f>0</f>
        <v>0</v>
      </c>
      <c r="G13" s="3">
        <f>0</f>
        <v>0</v>
      </c>
      <c r="H13" s="3">
        <f>0</f>
        <v>0</v>
      </c>
      <c r="I13" s="3">
        <f>0</f>
        <v>0</v>
      </c>
      <c r="J13" s="3">
        <f>0</f>
        <v>0</v>
      </c>
      <c r="K13" s="3">
        <f>0</f>
        <v>0</v>
      </c>
      <c r="L13" s="3">
        <f>0</f>
        <v>0</v>
      </c>
      <c r="M13" s="3">
        <f>0</f>
        <v>0</v>
      </c>
      <c r="N13" s="3">
        <f>0</f>
        <v>0</v>
      </c>
      <c r="O13" s="3">
        <f>0</f>
        <v>0</v>
      </c>
      <c r="P13" s="3">
        <f>0</f>
        <v>0</v>
      </c>
      <c r="Q13" s="3">
        <f>0</f>
        <v>0</v>
      </c>
      <c r="R13" s="3">
        <f>0</f>
        <v>0</v>
      </c>
      <c r="S13" s="3">
        <f>0</f>
        <v>0</v>
      </c>
      <c r="T13" s="3">
        <f>0</f>
        <v>0</v>
      </c>
      <c r="U13" s="3">
        <f>0</f>
        <v>0</v>
      </c>
      <c r="V13" s="3">
        <f>0</f>
        <v>0</v>
      </c>
      <c r="W13" s="3">
        <f>0</f>
        <v>0</v>
      </c>
      <c r="X13" s="3">
        <f>0</f>
        <v>0</v>
      </c>
      <c r="Y13" s="3">
        <f>0</f>
        <v>0</v>
      </c>
      <c r="Z13" s="3">
        <f>0</f>
        <v>0</v>
      </c>
      <c r="AA13" s="3">
        <f>0</f>
        <v>0</v>
      </c>
      <c r="AB13" s="3">
        <f>0</f>
        <v>0</v>
      </c>
      <c r="AC13" s="3">
        <f>0</f>
        <v>0</v>
      </c>
      <c r="AD13" s="3">
        <f>0</f>
        <v>0</v>
      </c>
      <c r="AE13" s="3">
        <f>0</f>
        <v>0</v>
      </c>
      <c r="AF13" s="3">
        <f>0</f>
        <v>0</v>
      </c>
      <c r="AG13" s="3">
        <f>0</f>
        <v>0</v>
      </c>
      <c r="AH13" s="3">
        <f>0</f>
        <v>0</v>
      </c>
      <c r="AI13" s="3">
        <f>0</f>
        <v>0</v>
      </c>
      <c r="AJ13" s="3">
        <f>0</f>
        <v>0</v>
      </c>
      <c r="AK13" s="3">
        <f>0</f>
        <v>0</v>
      </c>
      <c r="AL13" s="3">
        <f>0</f>
        <v>0</v>
      </c>
      <c r="AM13" s="3">
        <f>0</f>
        <v>0</v>
      </c>
      <c r="AN13" s="3">
        <f>0</f>
        <v>0</v>
      </c>
      <c r="AO13" s="3">
        <f>0</f>
        <v>0</v>
      </c>
      <c r="AP13" s="3">
        <f>0</f>
        <v>0</v>
      </c>
      <c r="AQ13" s="3">
        <f>0</f>
        <v>0</v>
      </c>
      <c r="AR13" s="3">
        <f>0</f>
        <v>0</v>
      </c>
      <c r="AS13" s="3">
        <f>IF($D13="", "", SUMPRODUCT(E13:AR13, E7:AR7))</f>
        <v>0</v>
      </c>
    </row>
    <row r="14" spans="1:45">
      <c r="A14">
        <v>5</v>
      </c>
      <c r="B14" t="str">
        <f>'PO BASIS'!$B$9</f>
        <v>Indirecte bouwkosten</v>
      </c>
      <c r="D14" s="3">
        <f>'PO BASIS'!$I$9</f>
        <v>337.56</v>
      </c>
      <c r="E14" s="3">
        <f>IF($D14="", "", $D14*$B$6)</f>
        <v>0</v>
      </c>
      <c r="F14" s="3">
        <f>0</f>
        <v>0</v>
      </c>
      <c r="G14" s="3">
        <f>0</f>
        <v>0</v>
      </c>
      <c r="H14" s="3">
        <f>0</f>
        <v>0</v>
      </c>
      <c r="I14" s="3">
        <f>0</f>
        <v>0</v>
      </c>
      <c r="J14" s="3">
        <f>0</f>
        <v>0</v>
      </c>
      <c r="K14" s="3">
        <f>0</f>
        <v>0</v>
      </c>
      <c r="L14" s="3">
        <f>0</f>
        <v>0</v>
      </c>
      <c r="M14" s="3">
        <f>0</f>
        <v>0</v>
      </c>
      <c r="N14" s="3">
        <f>0</f>
        <v>0</v>
      </c>
      <c r="O14" s="3">
        <f>0</f>
        <v>0</v>
      </c>
      <c r="P14" s="3">
        <f>0</f>
        <v>0</v>
      </c>
      <c r="Q14" s="3">
        <f>0</f>
        <v>0</v>
      </c>
      <c r="R14" s="3">
        <f>0</f>
        <v>0</v>
      </c>
      <c r="S14" s="3">
        <f>0</f>
        <v>0</v>
      </c>
      <c r="T14" s="3">
        <f>0</f>
        <v>0</v>
      </c>
      <c r="U14" s="3">
        <f>0</f>
        <v>0</v>
      </c>
      <c r="V14" s="3">
        <f>0</f>
        <v>0</v>
      </c>
      <c r="W14" s="3">
        <f>0</f>
        <v>0</v>
      </c>
      <c r="X14" s="3">
        <f>0</f>
        <v>0</v>
      </c>
      <c r="Y14" s="3">
        <f>0</f>
        <v>0</v>
      </c>
      <c r="Z14" s="3">
        <f>0</f>
        <v>0</v>
      </c>
      <c r="AA14" s="3">
        <f>0</f>
        <v>0</v>
      </c>
      <c r="AB14" s="3">
        <f>0</f>
        <v>0</v>
      </c>
      <c r="AC14" s="3">
        <f>0</f>
        <v>0</v>
      </c>
      <c r="AD14" s="3">
        <f>0</f>
        <v>0</v>
      </c>
      <c r="AE14" s="3">
        <f>0</f>
        <v>0</v>
      </c>
      <c r="AF14" s="3">
        <f>0</f>
        <v>0</v>
      </c>
      <c r="AG14" s="3">
        <f>0</f>
        <v>0</v>
      </c>
      <c r="AH14" s="3">
        <f>0</f>
        <v>0</v>
      </c>
      <c r="AI14" s="3">
        <f>0</f>
        <v>0</v>
      </c>
      <c r="AJ14" s="3">
        <f>0</f>
        <v>0</v>
      </c>
      <c r="AK14" s="3">
        <f>0</f>
        <v>0</v>
      </c>
      <c r="AL14" s="3">
        <f>0</f>
        <v>0</v>
      </c>
      <c r="AM14" s="3">
        <f>0</f>
        <v>0</v>
      </c>
      <c r="AN14" s="3">
        <f>0</f>
        <v>0</v>
      </c>
      <c r="AO14" s="3">
        <f>0</f>
        <v>0</v>
      </c>
      <c r="AP14" s="3">
        <f>0</f>
        <v>0</v>
      </c>
      <c r="AQ14" s="3">
        <f>0</f>
        <v>0</v>
      </c>
      <c r="AR14" s="3">
        <f>0</f>
        <v>0</v>
      </c>
      <c r="AS14" s="3">
        <f>IF($D14="", "", SUMPRODUCT(E14:AR14, E7:AR7))</f>
        <v>0</v>
      </c>
    </row>
    <row r="15" spans="1:45">
      <c r="A15">
        <v>6</v>
      </c>
      <c r="B15" t="str">
        <f>'PO BASIS'!$B$11</f>
        <v>Bijkomende kosten</v>
      </c>
      <c r="D15" s="3">
        <f>'PO BASIS'!$I$11</f>
        <v>361.81</v>
      </c>
      <c r="E15" s="3">
        <f>IF($D15="", "", $D15*$B$6)</f>
        <v>0</v>
      </c>
      <c r="F15" s="3">
        <f>0</f>
        <v>0</v>
      </c>
      <c r="G15" s="3">
        <f>0</f>
        <v>0</v>
      </c>
      <c r="H15" s="3">
        <f>0</f>
        <v>0</v>
      </c>
      <c r="I15" s="3">
        <f>0</f>
        <v>0</v>
      </c>
      <c r="J15" s="3">
        <f>0</f>
        <v>0</v>
      </c>
      <c r="K15" s="3">
        <f>0</f>
        <v>0</v>
      </c>
      <c r="L15" s="3">
        <f>0</f>
        <v>0</v>
      </c>
      <c r="M15" s="3">
        <f>0</f>
        <v>0</v>
      </c>
      <c r="N15" s="3">
        <f>0</f>
        <v>0</v>
      </c>
      <c r="O15" s="3">
        <f>0</f>
        <v>0</v>
      </c>
      <c r="P15" s="3">
        <f>0</f>
        <v>0</v>
      </c>
      <c r="Q15" s="3">
        <f>0</f>
        <v>0</v>
      </c>
      <c r="R15" s="3">
        <f>0</f>
        <v>0</v>
      </c>
      <c r="S15" s="3">
        <f>0</f>
        <v>0</v>
      </c>
      <c r="T15" s="3">
        <f>0</f>
        <v>0</v>
      </c>
      <c r="U15" s="3">
        <f>0</f>
        <v>0</v>
      </c>
      <c r="V15" s="3">
        <f>0</f>
        <v>0</v>
      </c>
      <c r="W15" s="3">
        <f>0</f>
        <v>0</v>
      </c>
      <c r="X15" s="3">
        <f>0</f>
        <v>0</v>
      </c>
      <c r="Y15" s="3">
        <f>0</f>
        <v>0</v>
      </c>
      <c r="Z15" s="3">
        <f>0</f>
        <v>0</v>
      </c>
      <c r="AA15" s="3">
        <f>0</f>
        <v>0</v>
      </c>
      <c r="AB15" s="3">
        <f>0</f>
        <v>0</v>
      </c>
      <c r="AC15" s="3">
        <f>0</f>
        <v>0</v>
      </c>
      <c r="AD15" s="3">
        <f>0</f>
        <v>0</v>
      </c>
      <c r="AE15" s="3">
        <f>0</f>
        <v>0</v>
      </c>
      <c r="AF15" s="3">
        <f>0</f>
        <v>0</v>
      </c>
      <c r="AG15" s="3">
        <f>0</f>
        <v>0</v>
      </c>
      <c r="AH15" s="3">
        <f>0</f>
        <v>0</v>
      </c>
      <c r="AI15" s="3">
        <f>0</f>
        <v>0</v>
      </c>
      <c r="AJ15" s="3">
        <f>0</f>
        <v>0</v>
      </c>
      <c r="AK15" s="3">
        <f>0</f>
        <v>0</v>
      </c>
      <c r="AL15" s="3">
        <f>0</f>
        <v>0</v>
      </c>
      <c r="AM15" s="3">
        <f>0</f>
        <v>0</v>
      </c>
      <c r="AN15" s="3">
        <f>0</f>
        <v>0</v>
      </c>
      <c r="AO15" s="3">
        <f>0</f>
        <v>0</v>
      </c>
      <c r="AP15" s="3">
        <f>0</f>
        <v>0</v>
      </c>
      <c r="AQ15" s="3">
        <f>0</f>
        <v>0</v>
      </c>
      <c r="AR15" s="3">
        <f>0</f>
        <v>0</v>
      </c>
      <c r="AS15" s="3">
        <f>IF($D15="", "", SUMPRODUCT(E15:AR15, E7:AR7))</f>
        <v>0</v>
      </c>
    </row>
    <row r="16" spans="1:45">
      <c r="A16">
        <v>7</v>
      </c>
      <c r="B16" t="str">
        <f>'PO BASIS'!$B$12</f>
        <v>Belasting</v>
      </c>
      <c r="D16" s="3">
        <f>'PO BASIS'!$I$12</f>
        <v>496.64</v>
      </c>
      <c r="E16" s="3">
        <f>IF($D16="", "", $D16*$B$6)</f>
        <v>0</v>
      </c>
      <c r="F16" s="3">
        <f>0</f>
        <v>0</v>
      </c>
      <c r="G16" s="3">
        <f>0</f>
        <v>0</v>
      </c>
      <c r="H16" s="3">
        <f>0</f>
        <v>0</v>
      </c>
      <c r="I16" s="3">
        <f>0</f>
        <v>0</v>
      </c>
      <c r="J16" s="3">
        <f>0</f>
        <v>0</v>
      </c>
      <c r="K16" s="3">
        <f>0</f>
        <v>0</v>
      </c>
      <c r="L16" s="3">
        <f>0</f>
        <v>0</v>
      </c>
      <c r="M16" s="3">
        <f>0</f>
        <v>0</v>
      </c>
      <c r="N16" s="3">
        <f>0</f>
        <v>0</v>
      </c>
      <c r="O16" s="3">
        <f>0</f>
        <v>0</v>
      </c>
      <c r="P16" s="3">
        <f>0</f>
        <v>0</v>
      </c>
      <c r="Q16" s="3">
        <f>0</f>
        <v>0</v>
      </c>
      <c r="R16" s="3">
        <f>0</f>
        <v>0</v>
      </c>
      <c r="S16" s="3">
        <f>0</f>
        <v>0</v>
      </c>
      <c r="T16" s="3">
        <f>0</f>
        <v>0</v>
      </c>
      <c r="U16" s="3">
        <f>0</f>
        <v>0</v>
      </c>
      <c r="V16" s="3">
        <f>0</f>
        <v>0</v>
      </c>
      <c r="W16" s="3">
        <f>0</f>
        <v>0</v>
      </c>
      <c r="X16" s="3">
        <f>0</f>
        <v>0</v>
      </c>
      <c r="Y16" s="3">
        <f>0</f>
        <v>0</v>
      </c>
      <c r="Z16" s="3">
        <f>0</f>
        <v>0</v>
      </c>
      <c r="AA16" s="3">
        <f>0</f>
        <v>0</v>
      </c>
      <c r="AB16" s="3">
        <f>0</f>
        <v>0</v>
      </c>
      <c r="AC16" s="3">
        <f>0</f>
        <v>0</v>
      </c>
      <c r="AD16" s="3">
        <f>0</f>
        <v>0</v>
      </c>
      <c r="AE16" s="3">
        <f>0</f>
        <v>0</v>
      </c>
      <c r="AF16" s="3">
        <f>0</f>
        <v>0</v>
      </c>
      <c r="AG16" s="3">
        <f>0</f>
        <v>0</v>
      </c>
      <c r="AH16" s="3">
        <f>0</f>
        <v>0</v>
      </c>
      <c r="AI16" s="3">
        <f>0</f>
        <v>0</v>
      </c>
      <c r="AJ16" s="3">
        <f>0</f>
        <v>0</v>
      </c>
      <c r="AK16" s="3">
        <f>0</f>
        <v>0</v>
      </c>
      <c r="AL16" s="3">
        <f>0</f>
        <v>0</v>
      </c>
      <c r="AM16" s="3">
        <f>0</f>
        <v>0</v>
      </c>
      <c r="AN16" s="3">
        <f>0</f>
        <v>0</v>
      </c>
      <c r="AO16" s="3">
        <f>0</f>
        <v>0</v>
      </c>
      <c r="AP16" s="3">
        <f>0</f>
        <v>0</v>
      </c>
      <c r="AQ16" s="3">
        <f>0</f>
        <v>0</v>
      </c>
      <c r="AR16" s="3">
        <f>0</f>
        <v>0</v>
      </c>
      <c r="AS16" s="3">
        <f>IF($D16="", "", SUMPRODUCT(E16:AR16, E7:AR7))</f>
        <v>0</v>
      </c>
    </row>
    <row r="17" spans="1:45">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1:45">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1:45">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1:45">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1:45">
      <c r="B21" s="4" t="s">
        <v>639</v>
      </c>
      <c r="C21" s="4" t="s">
        <v>640</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1:45">
      <c r="A22">
        <v>8</v>
      </c>
      <c r="B22" t="str">
        <f>'PO BASIS'!B29</f>
        <v>Voldoen aan NEN9120</v>
      </c>
      <c r="C22" t="str">
        <f>Elementclusters!C41</f>
        <v>nee</v>
      </c>
      <c r="D22" s="3">
        <f>'PO BASIS'!K29</f>
        <v>0</v>
      </c>
      <c r="E22" s="3">
        <f>IF($D22="", "", $D22*$B$6)</f>
        <v>0</v>
      </c>
      <c r="F22" s="3">
        <f>0</f>
        <v>0</v>
      </c>
      <c r="G22" s="3">
        <f>0</f>
        <v>0</v>
      </c>
      <c r="H22" s="3">
        <f>0</f>
        <v>0</v>
      </c>
      <c r="I22" s="3">
        <f>0</f>
        <v>0</v>
      </c>
      <c r="J22" s="3">
        <f>0</f>
        <v>0</v>
      </c>
      <c r="K22" s="3">
        <f>0</f>
        <v>0</v>
      </c>
      <c r="L22" s="3">
        <f>0</f>
        <v>0</v>
      </c>
      <c r="M22" s="3">
        <f>0</f>
        <v>0</v>
      </c>
      <c r="N22" s="3">
        <f>0</f>
        <v>0</v>
      </c>
      <c r="O22" s="3">
        <f>0</f>
        <v>0</v>
      </c>
      <c r="P22" s="3">
        <f>0</f>
        <v>0</v>
      </c>
      <c r="Q22" s="3">
        <f>0</f>
        <v>0</v>
      </c>
      <c r="R22" s="3">
        <f>0</f>
        <v>0</v>
      </c>
      <c r="S22" s="3">
        <f>0</f>
        <v>0</v>
      </c>
      <c r="T22" s="3">
        <f>0</f>
        <v>0</v>
      </c>
      <c r="U22" s="3">
        <f>0</f>
        <v>0</v>
      </c>
      <c r="V22" s="3">
        <f>0</f>
        <v>0</v>
      </c>
      <c r="W22" s="3">
        <f>0</f>
        <v>0</v>
      </c>
      <c r="X22" s="3">
        <f>0</f>
        <v>0</v>
      </c>
      <c r="Y22" s="3">
        <f>0</f>
        <v>0</v>
      </c>
      <c r="Z22" s="3">
        <f>0</f>
        <v>0</v>
      </c>
      <c r="AA22" s="3">
        <f>0</f>
        <v>0</v>
      </c>
      <c r="AB22" s="3">
        <f>0</f>
        <v>0</v>
      </c>
      <c r="AC22" s="3">
        <f>0</f>
        <v>0</v>
      </c>
      <c r="AD22" s="3">
        <f>0</f>
        <v>0</v>
      </c>
      <c r="AE22" s="3">
        <f>0</f>
        <v>0</v>
      </c>
      <c r="AF22" s="3">
        <f>0</f>
        <v>0</v>
      </c>
      <c r="AG22" s="3">
        <f>0</f>
        <v>0</v>
      </c>
      <c r="AH22" s="3">
        <f>0</f>
        <v>0</v>
      </c>
      <c r="AI22" s="3">
        <f>0</f>
        <v>0</v>
      </c>
      <c r="AJ22" s="3">
        <f>0</f>
        <v>0</v>
      </c>
      <c r="AK22" s="3">
        <f>0</f>
        <v>0</v>
      </c>
      <c r="AL22" s="3">
        <f>0</f>
        <v>0</v>
      </c>
      <c r="AM22" s="3">
        <f>0</f>
        <v>0</v>
      </c>
      <c r="AN22" s="3">
        <f>0</f>
        <v>0</v>
      </c>
      <c r="AO22" s="3">
        <f>0</f>
        <v>0</v>
      </c>
      <c r="AP22" s="3">
        <f>0</f>
        <v>0</v>
      </c>
      <c r="AQ22" s="3">
        <f>0</f>
        <v>0</v>
      </c>
      <c r="AR22" s="3">
        <f>0</f>
        <v>0</v>
      </c>
      <c r="AS22" s="3">
        <f>IF($D22="", "", SUMPRODUCT(E22:AR22, E7:AR7))</f>
        <v>0</v>
      </c>
    </row>
    <row r="23" spans="1:45">
      <c r="A23">
        <v>9</v>
      </c>
      <c r="B23" t="str">
        <f>'PO BASIS'!B30</f>
        <v>BBL, A, B of C</v>
      </c>
      <c r="C23" t="str">
        <f>Elementclusters!C42</f>
        <v>BBL</v>
      </c>
      <c r="D23" s="3">
        <f>'PO BASIS'!K30</f>
        <v>0</v>
      </c>
      <c r="E23" s="3">
        <f>IF($D23="", "", $D23*$B$6)</f>
        <v>0</v>
      </c>
      <c r="F23" s="3">
        <f>0</f>
        <v>0</v>
      </c>
      <c r="G23" s="3">
        <f>0</f>
        <v>0</v>
      </c>
      <c r="H23" s="3">
        <f>0</f>
        <v>0</v>
      </c>
      <c r="I23" s="3">
        <f>0</f>
        <v>0</v>
      </c>
      <c r="J23" s="3">
        <f>0</f>
        <v>0</v>
      </c>
      <c r="K23" s="3">
        <f>0</f>
        <v>0</v>
      </c>
      <c r="L23" s="3">
        <f>0</f>
        <v>0</v>
      </c>
      <c r="M23" s="3">
        <f>0</f>
        <v>0</v>
      </c>
      <c r="N23" s="3">
        <f>0</f>
        <v>0</v>
      </c>
      <c r="O23" s="3">
        <f>0</f>
        <v>0</v>
      </c>
      <c r="P23" s="3">
        <f>0</f>
        <v>0</v>
      </c>
      <c r="Q23" s="3">
        <f>0</f>
        <v>0</v>
      </c>
      <c r="R23" s="3">
        <f>0</f>
        <v>0</v>
      </c>
      <c r="S23" s="3">
        <f>0</f>
        <v>0</v>
      </c>
      <c r="T23" s="3">
        <f>0</f>
        <v>0</v>
      </c>
      <c r="U23" s="3">
        <f>0</f>
        <v>0</v>
      </c>
      <c r="V23" s="3">
        <f>0</f>
        <v>0</v>
      </c>
      <c r="W23" s="3">
        <f>0</f>
        <v>0</v>
      </c>
      <c r="X23" s="3">
        <f>0</f>
        <v>0</v>
      </c>
      <c r="Y23" s="3">
        <f>0</f>
        <v>0</v>
      </c>
      <c r="Z23" s="3">
        <f>0</f>
        <v>0</v>
      </c>
      <c r="AA23" s="3">
        <f>0</f>
        <v>0</v>
      </c>
      <c r="AB23" s="3">
        <f>0</f>
        <v>0</v>
      </c>
      <c r="AC23" s="3">
        <f>0</f>
        <v>0</v>
      </c>
      <c r="AD23" s="3">
        <f>0</f>
        <v>0</v>
      </c>
      <c r="AE23" s="3">
        <f>0</f>
        <v>0</v>
      </c>
      <c r="AF23" s="3">
        <f>0</f>
        <v>0</v>
      </c>
      <c r="AG23" s="3">
        <f>0</f>
        <v>0</v>
      </c>
      <c r="AH23" s="3">
        <f>0</f>
        <v>0</v>
      </c>
      <c r="AI23" s="3">
        <f>0</f>
        <v>0</v>
      </c>
      <c r="AJ23" s="3">
        <f>0</f>
        <v>0</v>
      </c>
      <c r="AK23" s="3">
        <f>0</f>
        <v>0</v>
      </c>
      <c r="AL23" s="3">
        <f>0</f>
        <v>0</v>
      </c>
      <c r="AM23" s="3">
        <f>0</f>
        <v>0</v>
      </c>
      <c r="AN23" s="3">
        <f>0</f>
        <v>0</v>
      </c>
      <c r="AO23" s="3">
        <f>0</f>
        <v>0</v>
      </c>
      <c r="AP23" s="3">
        <f>0</f>
        <v>0</v>
      </c>
      <c r="AQ23" s="3">
        <f>0</f>
        <v>0</v>
      </c>
      <c r="AR23" s="3">
        <f>0</f>
        <v>0</v>
      </c>
      <c r="AS23" s="3">
        <f>IF($D23="", "", SUMPRODUCT(E23:AR23, E7:AR7))</f>
        <v>0</v>
      </c>
    </row>
    <row r="24" spans="1:45">
      <c r="A24">
        <v>10</v>
      </c>
      <c r="B24" t="str">
        <f>'PO BASIS'!B31</f>
        <v>BENG,  Frisse scholen Engergie klasse A,B of C, ENG of 0 op de meter</v>
      </c>
      <c r="C24" t="str">
        <f>Elementclusters!C43</f>
        <v>BENG</v>
      </c>
      <c r="D24" s="3">
        <f>'PO BASIS'!K31</f>
        <v>0</v>
      </c>
      <c r="E24" s="3">
        <f>IF($D24="", "", $D24*$B$6)</f>
        <v>0</v>
      </c>
      <c r="F24" s="3">
        <f>0</f>
        <v>0</v>
      </c>
      <c r="G24" s="3">
        <f>0</f>
        <v>0</v>
      </c>
      <c r="H24" s="3">
        <f>0</f>
        <v>0</v>
      </c>
      <c r="I24" s="3">
        <f>0</f>
        <v>0</v>
      </c>
      <c r="J24" s="3">
        <f>0</f>
        <v>0</v>
      </c>
      <c r="K24" s="3">
        <f>0</f>
        <v>0</v>
      </c>
      <c r="L24" s="3">
        <f>0</f>
        <v>0</v>
      </c>
      <c r="M24" s="3">
        <f>0</f>
        <v>0</v>
      </c>
      <c r="N24" s="3">
        <f>0</f>
        <v>0</v>
      </c>
      <c r="O24" s="3">
        <f>0</f>
        <v>0</v>
      </c>
      <c r="P24" s="3">
        <f>0</f>
        <v>0</v>
      </c>
      <c r="Q24" s="3">
        <f>0</f>
        <v>0</v>
      </c>
      <c r="R24" s="3">
        <f>0</f>
        <v>0</v>
      </c>
      <c r="S24" s="3">
        <f>0</f>
        <v>0</v>
      </c>
      <c r="T24" s="3">
        <f>0</f>
        <v>0</v>
      </c>
      <c r="U24" s="3">
        <f>0</f>
        <v>0</v>
      </c>
      <c r="V24" s="3">
        <f>0</f>
        <v>0</v>
      </c>
      <c r="W24" s="3">
        <f>0</f>
        <v>0</v>
      </c>
      <c r="X24" s="3">
        <f>0</f>
        <v>0</v>
      </c>
      <c r="Y24" s="3">
        <f>0</f>
        <v>0</v>
      </c>
      <c r="Z24" s="3">
        <f>0</f>
        <v>0</v>
      </c>
      <c r="AA24" s="3">
        <f>0</f>
        <v>0</v>
      </c>
      <c r="AB24" s="3">
        <f>0</f>
        <v>0</v>
      </c>
      <c r="AC24" s="3">
        <f>0</f>
        <v>0</v>
      </c>
      <c r="AD24" s="3">
        <f>0</f>
        <v>0</v>
      </c>
      <c r="AE24" s="3">
        <f>0</f>
        <v>0</v>
      </c>
      <c r="AF24" s="3">
        <f>0</f>
        <v>0</v>
      </c>
      <c r="AG24" s="3">
        <f>0</f>
        <v>0</v>
      </c>
      <c r="AH24" s="3">
        <f>0</f>
        <v>0</v>
      </c>
      <c r="AI24" s="3">
        <f>0</f>
        <v>0</v>
      </c>
      <c r="AJ24" s="3">
        <f>0</f>
        <v>0</v>
      </c>
      <c r="AK24" s="3">
        <f>0</f>
        <v>0</v>
      </c>
      <c r="AL24" s="3">
        <f>0</f>
        <v>0</v>
      </c>
      <c r="AM24" s="3">
        <f>0</f>
        <v>0</v>
      </c>
      <c r="AN24" s="3">
        <f>0</f>
        <v>0</v>
      </c>
      <c r="AO24" s="3">
        <f>0</f>
        <v>0</v>
      </c>
      <c r="AP24" s="3">
        <f>0</f>
        <v>0</v>
      </c>
      <c r="AQ24" s="3">
        <f>0</f>
        <v>0</v>
      </c>
      <c r="AR24" s="3">
        <f>0</f>
        <v>0</v>
      </c>
      <c r="AS24" s="3">
        <f>IF($D24="", "", SUMPRODUCT(E24:AR24, E7:AR7))</f>
        <v>0</v>
      </c>
    </row>
    <row r="25" spans="1:45">
      <c r="A25">
        <v>11</v>
      </c>
      <c r="B25" t="str">
        <f>'PO BASIS'!B32</f>
        <v xml:space="preserve">Aandeel biobased hergebruikt of gerecycled </v>
      </c>
      <c r="C25" t="str">
        <f>Elementclusters!C44</f>
        <v>15%</v>
      </c>
      <c r="D25" s="3">
        <f>'PO BASIS'!K32</f>
        <v>16.443894071000003</v>
      </c>
      <c r="E25" s="3">
        <f>IF($D25="", "", $D25*$B$6)</f>
        <v>0</v>
      </c>
      <c r="F25" s="3">
        <f>0</f>
        <v>0</v>
      </c>
      <c r="G25" s="3">
        <f>0</f>
        <v>0</v>
      </c>
      <c r="H25" s="3">
        <f>0</f>
        <v>0</v>
      </c>
      <c r="I25" s="3">
        <f>0</f>
        <v>0</v>
      </c>
      <c r="J25" s="3">
        <f>0</f>
        <v>0</v>
      </c>
      <c r="K25" s="3">
        <f>0</f>
        <v>0</v>
      </c>
      <c r="L25" s="3">
        <f>0</f>
        <v>0</v>
      </c>
      <c r="M25" s="3">
        <f>0</f>
        <v>0</v>
      </c>
      <c r="N25" s="3">
        <f>0</f>
        <v>0</v>
      </c>
      <c r="O25" s="3">
        <f>0</f>
        <v>0</v>
      </c>
      <c r="P25" s="3">
        <f>0</f>
        <v>0</v>
      </c>
      <c r="Q25" s="3">
        <f>0</f>
        <v>0</v>
      </c>
      <c r="R25" s="3">
        <f>0</f>
        <v>0</v>
      </c>
      <c r="S25" s="3">
        <f>0</f>
        <v>0</v>
      </c>
      <c r="T25" s="3">
        <f>0</f>
        <v>0</v>
      </c>
      <c r="U25" s="3">
        <f>0</f>
        <v>0</v>
      </c>
      <c r="V25" s="3">
        <f>0</f>
        <v>0</v>
      </c>
      <c r="W25" s="3">
        <f>0</f>
        <v>0</v>
      </c>
      <c r="X25" s="3">
        <f>0</f>
        <v>0</v>
      </c>
      <c r="Y25" s="3">
        <f>0</f>
        <v>0</v>
      </c>
      <c r="Z25" s="3">
        <f>0</f>
        <v>0</v>
      </c>
      <c r="AA25" s="3">
        <f>0</f>
        <v>0</v>
      </c>
      <c r="AB25" s="3">
        <f>0</f>
        <v>0</v>
      </c>
      <c r="AC25" s="3">
        <f>0</f>
        <v>0</v>
      </c>
      <c r="AD25" s="3">
        <f>0</f>
        <v>0</v>
      </c>
      <c r="AE25" s="3">
        <f>0</f>
        <v>0</v>
      </c>
      <c r="AF25" s="3">
        <f>0</f>
        <v>0</v>
      </c>
      <c r="AG25" s="3">
        <f>0</f>
        <v>0</v>
      </c>
      <c r="AH25" s="3">
        <f>0</f>
        <v>0</v>
      </c>
      <c r="AI25" s="3">
        <f>0</f>
        <v>0</v>
      </c>
      <c r="AJ25" s="3">
        <f>0</f>
        <v>0</v>
      </c>
      <c r="AK25" s="3">
        <f>0</f>
        <v>0</v>
      </c>
      <c r="AL25" s="3">
        <f>0</f>
        <v>0</v>
      </c>
      <c r="AM25" s="3">
        <f>0</f>
        <v>0</v>
      </c>
      <c r="AN25" s="3">
        <f>0</f>
        <v>0</v>
      </c>
      <c r="AO25" s="3">
        <f>0</f>
        <v>0</v>
      </c>
      <c r="AP25" s="3">
        <f>0</f>
        <v>0</v>
      </c>
      <c r="AQ25" s="3">
        <f>0</f>
        <v>0</v>
      </c>
      <c r="AR25" s="3">
        <f>0</f>
        <v>0</v>
      </c>
      <c r="AS25" s="3">
        <f>IF($D25="", "", SUMPRODUCT(E25:AR25, E7:AR7))</f>
        <v>0</v>
      </c>
    </row>
    <row r="26" spans="1:45">
      <c r="A26">
        <v>12</v>
      </c>
      <c r="B26" t="str">
        <f>'PO BASIS'!B33</f>
        <v>Losmaakbaarheidsindex</v>
      </c>
      <c r="C26" t="str">
        <f>Elementclusters!C45</f>
        <v>30%</v>
      </c>
      <c r="D26" s="3">
        <f>'PO BASIS'!K33</f>
        <v>24.665841106499801</v>
      </c>
      <c r="E26" s="3">
        <f>IF($D26="", "", $D26*$B$6)</f>
        <v>0</v>
      </c>
      <c r="F26" s="3">
        <f>0</f>
        <v>0</v>
      </c>
      <c r="G26" s="3">
        <f>0</f>
        <v>0</v>
      </c>
      <c r="H26" s="3">
        <f>0</f>
        <v>0</v>
      </c>
      <c r="I26" s="3">
        <f>0</f>
        <v>0</v>
      </c>
      <c r="J26" s="3">
        <f>0</f>
        <v>0</v>
      </c>
      <c r="K26" s="3">
        <f>0</f>
        <v>0</v>
      </c>
      <c r="L26" s="3">
        <f>0</f>
        <v>0</v>
      </c>
      <c r="M26" s="3">
        <f>0</f>
        <v>0</v>
      </c>
      <c r="N26" s="3">
        <f>0</f>
        <v>0</v>
      </c>
      <c r="O26" s="3">
        <f>0</f>
        <v>0</v>
      </c>
      <c r="P26" s="3">
        <f>0</f>
        <v>0</v>
      </c>
      <c r="Q26" s="3">
        <f>0</f>
        <v>0</v>
      </c>
      <c r="R26" s="3">
        <f>0</f>
        <v>0</v>
      </c>
      <c r="S26" s="3">
        <f>0</f>
        <v>0</v>
      </c>
      <c r="T26" s="3">
        <f>0</f>
        <v>0</v>
      </c>
      <c r="U26" s="3">
        <f>0</f>
        <v>0</v>
      </c>
      <c r="V26" s="3">
        <f>0</f>
        <v>0</v>
      </c>
      <c r="W26" s="3">
        <f>0</f>
        <v>0</v>
      </c>
      <c r="X26" s="3">
        <f>0</f>
        <v>0</v>
      </c>
      <c r="Y26" s="3">
        <f>0</f>
        <v>0</v>
      </c>
      <c r="Z26" s="3">
        <f>0</f>
        <v>0</v>
      </c>
      <c r="AA26" s="3">
        <f>0</f>
        <v>0</v>
      </c>
      <c r="AB26" s="3">
        <f>0</f>
        <v>0</v>
      </c>
      <c r="AC26" s="3">
        <f>0</f>
        <v>0</v>
      </c>
      <c r="AD26" s="3">
        <f>0</f>
        <v>0</v>
      </c>
      <c r="AE26" s="3">
        <f>0</f>
        <v>0</v>
      </c>
      <c r="AF26" s="3">
        <f>0</f>
        <v>0</v>
      </c>
      <c r="AG26" s="3">
        <f>0</f>
        <v>0</v>
      </c>
      <c r="AH26" s="3">
        <f>0</f>
        <v>0</v>
      </c>
      <c r="AI26" s="3">
        <f>0</f>
        <v>0</v>
      </c>
      <c r="AJ26" s="3">
        <f>0</f>
        <v>0</v>
      </c>
      <c r="AK26" s="3">
        <f>0</f>
        <v>0</v>
      </c>
      <c r="AL26" s="3">
        <f>0</f>
        <v>0</v>
      </c>
      <c r="AM26" s="3">
        <f>0</f>
        <v>0</v>
      </c>
      <c r="AN26" s="3">
        <f>0</f>
        <v>0</v>
      </c>
      <c r="AO26" s="3">
        <f>0</f>
        <v>0</v>
      </c>
      <c r="AP26" s="3">
        <f>0</f>
        <v>0</v>
      </c>
      <c r="AQ26" s="3">
        <f>0</f>
        <v>0</v>
      </c>
      <c r="AR26" s="3">
        <f>0</f>
        <v>0</v>
      </c>
      <c r="AS26" s="3">
        <f>IF($D26="", "", SUMPRODUCT(E26:AR26, E7:AR7))</f>
        <v>0</v>
      </c>
    </row>
    <row r="27" spans="1:45">
      <c r="A27">
        <v>13</v>
      </c>
      <c r="B27" t="str">
        <f>'PO BASIS'!B34</f>
        <v xml:space="preserve">Subbemetering </v>
      </c>
      <c r="C27" t="str">
        <f>Elementclusters!C46</f>
        <v>nee</v>
      </c>
      <c r="D27" s="3">
        <f>'PO BASIS'!K34</f>
        <v>0</v>
      </c>
      <c r="E27" s="3">
        <f>IF($D27="", "", $D27*$B$6)</f>
        <v>0</v>
      </c>
      <c r="F27" s="3">
        <f>0</f>
        <v>0</v>
      </c>
      <c r="G27" s="3">
        <f>0</f>
        <v>0</v>
      </c>
      <c r="H27" s="3">
        <f>0</f>
        <v>0</v>
      </c>
      <c r="I27" s="3">
        <f>0</f>
        <v>0</v>
      </c>
      <c r="J27" s="3">
        <f>0</f>
        <v>0</v>
      </c>
      <c r="K27" s="3">
        <f>0</f>
        <v>0</v>
      </c>
      <c r="L27" s="3">
        <f>0</f>
        <v>0</v>
      </c>
      <c r="M27" s="3">
        <f>0</f>
        <v>0</v>
      </c>
      <c r="N27" s="3">
        <f>0</f>
        <v>0</v>
      </c>
      <c r="O27" s="3">
        <f>0</f>
        <v>0</v>
      </c>
      <c r="P27" s="3">
        <f>0</f>
        <v>0</v>
      </c>
      <c r="Q27" s="3">
        <f>0</f>
        <v>0</v>
      </c>
      <c r="R27" s="3">
        <f>0</f>
        <v>0</v>
      </c>
      <c r="S27" s="3">
        <f>0</f>
        <v>0</v>
      </c>
      <c r="T27" s="3">
        <f>0</f>
        <v>0</v>
      </c>
      <c r="U27" s="3">
        <f>0</f>
        <v>0</v>
      </c>
      <c r="V27" s="3">
        <f>0</f>
        <v>0</v>
      </c>
      <c r="W27" s="3">
        <f>0</f>
        <v>0</v>
      </c>
      <c r="X27" s="3">
        <f>0</f>
        <v>0</v>
      </c>
      <c r="Y27" s="3">
        <f>0</f>
        <v>0</v>
      </c>
      <c r="Z27" s="3">
        <f>0</f>
        <v>0</v>
      </c>
      <c r="AA27" s="3">
        <f>0</f>
        <v>0</v>
      </c>
      <c r="AB27" s="3">
        <f>0</f>
        <v>0</v>
      </c>
      <c r="AC27" s="3">
        <f>0</f>
        <v>0</v>
      </c>
      <c r="AD27" s="3">
        <f>0</f>
        <v>0</v>
      </c>
      <c r="AE27" s="3">
        <f>0</f>
        <v>0</v>
      </c>
      <c r="AF27" s="3">
        <f>0</f>
        <v>0</v>
      </c>
      <c r="AG27" s="3">
        <f>0</f>
        <v>0</v>
      </c>
      <c r="AH27" s="3">
        <f>0</f>
        <v>0</v>
      </c>
      <c r="AI27" s="3">
        <f>0</f>
        <v>0</v>
      </c>
      <c r="AJ27" s="3">
        <f>0</f>
        <v>0</v>
      </c>
      <c r="AK27" s="3">
        <f>0</f>
        <v>0</v>
      </c>
      <c r="AL27" s="3">
        <f>0</f>
        <v>0</v>
      </c>
      <c r="AM27" s="3">
        <f>0</f>
        <v>0</v>
      </c>
      <c r="AN27" s="3">
        <f>0</f>
        <v>0</v>
      </c>
      <c r="AO27" s="3">
        <f>0</f>
        <v>0</v>
      </c>
      <c r="AP27" s="3">
        <f>0</f>
        <v>0</v>
      </c>
      <c r="AQ27" s="3">
        <f>0</f>
        <v>0</v>
      </c>
      <c r="AR27" s="3">
        <f>0</f>
        <v>0</v>
      </c>
      <c r="AS27" s="3">
        <f>IF($D27="", "", SUMPRODUCT(E27:AR27, E7:AR7))</f>
        <v>0</v>
      </c>
    </row>
    <row r="28" spans="1:45">
      <c r="A28">
        <v>14</v>
      </c>
      <c r="B28" t="str">
        <f>'PO BASIS'!B35</f>
        <v>Afvalwater hergebruiksysteem</v>
      </c>
      <c r="C28" t="str">
        <f>Elementclusters!C47</f>
        <v>nee</v>
      </c>
      <c r="D28" s="3">
        <f>'PO BASIS'!K35</f>
        <v>0</v>
      </c>
      <c r="E28" s="3">
        <f>IF($D28="", "", $D28*$B$6)</f>
        <v>0</v>
      </c>
      <c r="F28" s="3">
        <f>0</f>
        <v>0</v>
      </c>
      <c r="G28" s="3">
        <f>0</f>
        <v>0</v>
      </c>
      <c r="H28" s="3">
        <f>0</f>
        <v>0</v>
      </c>
      <c r="I28" s="3">
        <f>0</f>
        <v>0</v>
      </c>
      <c r="J28" s="3">
        <f>0</f>
        <v>0</v>
      </c>
      <c r="K28" s="3">
        <f>0</f>
        <v>0</v>
      </c>
      <c r="L28" s="3">
        <f>0</f>
        <v>0</v>
      </c>
      <c r="M28" s="3">
        <f>0</f>
        <v>0</v>
      </c>
      <c r="N28" s="3">
        <f>0</f>
        <v>0</v>
      </c>
      <c r="O28" s="3">
        <f>0</f>
        <v>0</v>
      </c>
      <c r="P28" s="3">
        <f>0</f>
        <v>0</v>
      </c>
      <c r="Q28" s="3">
        <f>0</f>
        <v>0</v>
      </c>
      <c r="R28" s="3">
        <f>0</f>
        <v>0</v>
      </c>
      <c r="S28" s="3">
        <f>0</f>
        <v>0</v>
      </c>
      <c r="T28" s="3">
        <f>0</f>
        <v>0</v>
      </c>
      <c r="U28" s="3">
        <f>0</f>
        <v>0</v>
      </c>
      <c r="V28" s="3">
        <f>0</f>
        <v>0</v>
      </c>
      <c r="W28" s="3">
        <f>0</f>
        <v>0</v>
      </c>
      <c r="X28" s="3">
        <f>0</f>
        <v>0</v>
      </c>
      <c r="Y28" s="3">
        <f>0</f>
        <v>0</v>
      </c>
      <c r="Z28" s="3">
        <f>0</f>
        <v>0</v>
      </c>
      <c r="AA28" s="3">
        <f>0</f>
        <v>0</v>
      </c>
      <c r="AB28" s="3">
        <f>0</f>
        <v>0</v>
      </c>
      <c r="AC28" s="3">
        <f>0</f>
        <v>0</v>
      </c>
      <c r="AD28" s="3">
        <f>0</f>
        <v>0</v>
      </c>
      <c r="AE28" s="3">
        <f>0</f>
        <v>0</v>
      </c>
      <c r="AF28" s="3">
        <f>0</f>
        <v>0</v>
      </c>
      <c r="AG28" s="3">
        <f>0</f>
        <v>0</v>
      </c>
      <c r="AH28" s="3">
        <f>0</f>
        <v>0</v>
      </c>
      <c r="AI28" s="3">
        <f>0</f>
        <v>0</v>
      </c>
      <c r="AJ28" s="3">
        <f>0</f>
        <v>0</v>
      </c>
      <c r="AK28" s="3">
        <f>0</f>
        <v>0</v>
      </c>
      <c r="AL28" s="3">
        <f>0</f>
        <v>0</v>
      </c>
      <c r="AM28" s="3">
        <f>0</f>
        <v>0</v>
      </c>
      <c r="AN28" s="3">
        <f>0</f>
        <v>0</v>
      </c>
      <c r="AO28" s="3">
        <f>0</f>
        <v>0</v>
      </c>
      <c r="AP28" s="3">
        <f>0</f>
        <v>0</v>
      </c>
      <c r="AQ28" s="3">
        <f>0</f>
        <v>0</v>
      </c>
      <c r="AR28" s="3">
        <f>0</f>
        <v>0</v>
      </c>
      <c r="AS28" s="3">
        <f>IF($D28="", "", SUMPRODUCT(E28:AR28, E7:AR7))</f>
        <v>0</v>
      </c>
    </row>
    <row r="29" spans="1:45">
      <c r="A29">
        <v>15</v>
      </c>
      <c r="B29" t="str">
        <f>'PO BASIS'!B36</f>
        <v>Grijswatersysteem</v>
      </c>
      <c r="C29" t="str">
        <f>Elementclusters!C48</f>
        <v>nee</v>
      </c>
      <c r="D29" s="3">
        <f>'PO BASIS'!K36</f>
        <v>0</v>
      </c>
      <c r="E29" s="3">
        <f t="shared" ref="E29:E36" si="0">IF($D29="", "", $D29*$B$6)</f>
        <v>0</v>
      </c>
      <c r="F29" s="3">
        <f>0</f>
        <v>0</v>
      </c>
      <c r="G29" s="3">
        <f>0</f>
        <v>0</v>
      </c>
      <c r="H29" s="3">
        <f>0</f>
        <v>0</v>
      </c>
      <c r="I29" s="3">
        <f>0</f>
        <v>0</v>
      </c>
      <c r="J29" s="3">
        <f>0</f>
        <v>0</v>
      </c>
      <c r="K29" s="3">
        <f>0</f>
        <v>0</v>
      </c>
      <c r="L29" s="3">
        <f>0</f>
        <v>0</v>
      </c>
      <c r="M29" s="3">
        <f>0</f>
        <v>0</v>
      </c>
      <c r="N29" s="3">
        <f>0</f>
        <v>0</v>
      </c>
      <c r="O29" s="3">
        <f>0</f>
        <v>0</v>
      </c>
      <c r="P29" s="3">
        <f>0</f>
        <v>0</v>
      </c>
      <c r="Q29" s="3">
        <f>0</f>
        <v>0</v>
      </c>
      <c r="R29" s="3">
        <f>0</f>
        <v>0</v>
      </c>
      <c r="S29" s="3">
        <f>0</f>
        <v>0</v>
      </c>
      <c r="T29" s="3">
        <f>0</f>
        <v>0</v>
      </c>
      <c r="U29" s="3">
        <f>0</f>
        <v>0</v>
      </c>
      <c r="V29" s="3">
        <f>0</f>
        <v>0</v>
      </c>
      <c r="W29" s="3">
        <f>0</f>
        <v>0</v>
      </c>
      <c r="X29" s="3">
        <f>0</f>
        <v>0</v>
      </c>
      <c r="Y29" s="3">
        <f>0</f>
        <v>0</v>
      </c>
      <c r="Z29" s="3">
        <f>0</f>
        <v>0</v>
      </c>
      <c r="AA29" s="3">
        <f>0</f>
        <v>0</v>
      </c>
      <c r="AB29" s="3">
        <f>0</f>
        <v>0</v>
      </c>
      <c r="AC29" s="3">
        <f>0</f>
        <v>0</v>
      </c>
      <c r="AD29" s="3">
        <f>0</f>
        <v>0</v>
      </c>
      <c r="AE29" s="3">
        <f>0</f>
        <v>0</v>
      </c>
      <c r="AF29" s="3">
        <f>0</f>
        <v>0</v>
      </c>
      <c r="AG29" s="3">
        <f>0</f>
        <v>0</v>
      </c>
      <c r="AH29" s="3">
        <f>0</f>
        <v>0</v>
      </c>
      <c r="AI29" s="3">
        <f>0</f>
        <v>0</v>
      </c>
      <c r="AJ29" s="3">
        <f>0</f>
        <v>0</v>
      </c>
      <c r="AK29" s="3">
        <f>0</f>
        <v>0</v>
      </c>
      <c r="AL29" s="3">
        <f>0</f>
        <v>0</v>
      </c>
      <c r="AM29" s="3">
        <f>0</f>
        <v>0</v>
      </c>
      <c r="AN29" s="3">
        <f>0</f>
        <v>0</v>
      </c>
      <c r="AO29" s="3">
        <f>0</f>
        <v>0</v>
      </c>
      <c r="AP29" s="3">
        <f>0</f>
        <v>0</v>
      </c>
      <c r="AQ29" s="3">
        <f>0</f>
        <v>0</v>
      </c>
      <c r="AR29" s="3">
        <f>0</f>
        <v>0</v>
      </c>
      <c r="AS29" s="3">
        <f t="shared" ref="AS29:AS37" si="1">IF($D29="", "", SUMPRODUCT(E29:AR29, E8:AR8))</f>
        <v>0</v>
      </c>
    </row>
    <row r="30" spans="1:45">
      <c r="A30">
        <v>16</v>
      </c>
      <c r="B30" t="str">
        <f>'PO BASIS'!B37</f>
        <v>Groendak</v>
      </c>
      <c r="C30" t="str">
        <f>Elementclusters!C49</f>
        <v>nee</v>
      </c>
      <c r="D30" s="3">
        <f>'PO BASIS'!K37</f>
        <v>0</v>
      </c>
      <c r="E30" s="3">
        <f t="shared" si="0"/>
        <v>0</v>
      </c>
      <c r="F30" s="3">
        <f>0</f>
        <v>0</v>
      </c>
      <c r="G30" s="3">
        <f>0</f>
        <v>0</v>
      </c>
      <c r="H30" s="3">
        <f>0</f>
        <v>0</v>
      </c>
      <c r="I30" s="3">
        <f>0</f>
        <v>0</v>
      </c>
      <c r="J30" s="3">
        <f>0</f>
        <v>0</v>
      </c>
      <c r="K30" s="3">
        <f>0</f>
        <v>0</v>
      </c>
      <c r="L30" s="3">
        <f>0</f>
        <v>0</v>
      </c>
      <c r="M30" s="3">
        <f>0</f>
        <v>0</v>
      </c>
      <c r="N30" s="3">
        <f>0</f>
        <v>0</v>
      </c>
      <c r="O30" s="3">
        <f>0</f>
        <v>0</v>
      </c>
      <c r="P30" s="3">
        <f>0</f>
        <v>0</v>
      </c>
      <c r="Q30" s="3">
        <f>0</f>
        <v>0</v>
      </c>
      <c r="R30" s="3">
        <f>0</f>
        <v>0</v>
      </c>
      <c r="S30" s="3">
        <f>0</f>
        <v>0</v>
      </c>
      <c r="T30" s="3">
        <f>0</f>
        <v>0</v>
      </c>
      <c r="U30" s="3">
        <f>0</f>
        <v>0</v>
      </c>
      <c r="V30" s="3">
        <f>0</f>
        <v>0</v>
      </c>
      <c r="W30" s="3">
        <f>0</f>
        <v>0</v>
      </c>
      <c r="X30" s="3">
        <f>0</f>
        <v>0</v>
      </c>
      <c r="Y30" s="3">
        <f>0</f>
        <v>0</v>
      </c>
      <c r="Z30" s="3">
        <f>0</f>
        <v>0</v>
      </c>
      <c r="AA30" s="3">
        <f>0</f>
        <v>0</v>
      </c>
      <c r="AB30" s="3">
        <f>0</f>
        <v>0</v>
      </c>
      <c r="AC30" s="3">
        <f>0</f>
        <v>0</v>
      </c>
      <c r="AD30" s="3">
        <f>0</f>
        <v>0</v>
      </c>
      <c r="AE30" s="3">
        <f>0</f>
        <v>0</v>
      </c>
      <c r="AF30" s="3">
        <f>0</f>
        <v>0</v>
      </c>
      <c r="AG30" s="3">
        <f>0</f>
        <v>0</v>
      </c>
      <c r="AH30" s="3">
        <f>0</f>
        <v>0</v>
      </c>
      <c r="AI30" s="3">
        <f>0</f>
        <v>0</v>
      </c>
      <c r="AJ30" s="3">
        <f>0</f>
        <v>0</v>
      </c>
      <c r="AK30" s="3">
        <f>0</f>
        <v>0</v>
      </c>
      <c r="AL30" s="3">
        <f>0</f>
        <v>0</v>
      </c>
      <c r="AM30" s="3">
        <f>0</f>
        <v>0</v>
      </c>
      <c r="AN30" s="3">
        <f>0</f>
        <v>0</v>
      </c>
      <c r="AO30" s="3">
        <f>0</f>
        <v>0</v>
      </c>
      <c r="AP30" s="3">
        <f>0</f>
        <v>0</v>
      </c>
      <c r="AQ30" s="3">
        <f>0</f>
        <v>0</v>
      </c>
      <c r="AR30" s="3">
        <f>0</f>
        <v>0</v>
      </c>
      <c r="AS30" s="3">
        <f t="shared" si="1"/>
        <v>0</v>
      </c>
    </row>
    <row r="31" spans="1:45">
      <c r="A31">
        <v>17</v>
      </c>
      <c r="B31" t="str">
        <f>'PO BASIS'!B38</f>
        <v>Waterretentie systeem</v>
      </c>
      <c r="C31" t="str">
        <f>Elementclusters!C50</f>
        <v>nee</v>
      </c>
      <c r="D31" s="3">
        <f>'PO BASIS'!K38</f>
        <v>0</v>
      </c>
      <c r="E31" s="3">
        <f t="shared" si="0"/>
        <v>0</v>
      </c>
      <c r="F31" s="3">
        <f>0</f>
        <v>0</v>
      </c>
      <c r="G31" s="3">
        <f>0</f>
        <v>0</v>
      </c>
      <c r="H31" s="3">
        <f>0</f>
        <v>0</v>
      </c>
      <c r="I31" s="3">
        <f>0</f>
        <v>0</v>
      </c>
      <c r="J31" s="3">
        <f>0</f>
        <v>0</v>
      </c>
      <c r="K31" s="3">
        <f>0</f>
        <v>0</v>
      </c>
      <c r="L31" s="3">
        <f>0</f>
        <v>0</v>
      </c>
      <c r="M31" s="3">
        <f>0</f>
        <v>0</v>
      </c>
      <c r="N31" s="3">
        <f>0</f>
        <v>0</v>
      </c>
      <c r="O31" s="3">
        <f>0</f>
        <v>0</v>
      </c>
      <c r="P31" s="3">
        <f>0</f>
        <v>0</v>
      </c>
      <c r="Q31" s="3">
        <f>0</f>
        <v>0</v>
      </c>
      <c r="R31" s="3">
        <f>0</f>
        <v>0</v>
      </c>
      <c r="S31" s="3">
        <f>0</f>
        <v>0</v>
      </c>
      <c r="T31" s="3">
        <f>0</f>
        <v>0</v>
      </c>
      <c r="U31" s="3">
        <f>0</f>
        <v>0</v>
      </c>
      <c r="V31" s="3">
        <f>0</f>
        <v>0</v>
      </c>
      <c r="W31" s="3">
        <f>0</f>
        <v>0</v>
      </c>
      <c r="X31" s="3">
        <f>0</f>
        <v>0</v>
      </c>
      <c r="Y31" s="3">
        <f>0</f>
        <v>0</v>
      </c>
      <c r="Z31" s="3">
        <f>0</f>
        <v>0</v>
      </c>
      <c r="AA31" s="3">
        <f>0</f>
        <v>0</v>
      </c>
      <c r="AB31" s="3">
        <f>0</f>
        <v>0</v>
      </c>
      <c r="AC31" s="3">
        <f>0</f>
        <v>0</v>
      </c>
      <c r="AD31" s="3">
        <f>0</f>
        <v>0</v>
      </c>
      <c r="AE31" s="3">
        <f>0</f>
        <v>0</v>
      </c>
      <c r="AF31" s="3">
        <f>0</f>
        <v>0</v>
      </c>
      <c r="AG31" s="3">
        <f>0</f>
        <v>0</v>
      </c>
      <c r="AH31" s="3">
        <f>0</f>
        <v>0</v>
      </c>
      <c r="AI31" s="3">
        <f>0</f>
        <v>0</v>
      </c>
      <c r="AJ31" s="3">
        <f>0</f>
        <v>0</v>
      </c>
      <c r="AK31" s="3">
        <f>0</f>
        <v>0</v>
      </c>
      <c r="AL31" s="3">
        <f>0</f>
        <v>0</v>
      </c>
      <c r="AM31" s="3">
        <f>0</f>
        <v>0</v>
      </c>
      <c r="AN31" s="3">
        <f>0</f>
        <v>0</v>
      </c>
      <c r="AO31" s="3">
        <f>0</f>
        <v>0</v>
      </c>
      <c r="AP31" s="3">
        <f>0</f>
        <v>0</v>
      </c>
      <c r="AQ31" s="3">
        <f>0</f>
        <v>0</v>
      </c>
      <c r="AR31" s="3">
        <f>0</f>
        <v>0</v>
      </c>
      <c r="AS31" s="3">
        <f t="shared" si="1"/>
        <v>0</v>
      </c>
    </row>
    <row r="32" spans="1:45">
      <c r="A32">
        <v>18</v>
      </c>
      <c r="B32" t="str">
        <f>'PO BASIS'!B39</f>
        <v xml:space="preserve">Extra beveiligingsmaatregelen </v>
      </c>
      <c r="C32" t="str">
        <f>Elementclusters!C51</f>
        <v>nee</v>
      </c>
      <c r="D32" s="3">
        <f>'PO BASIS'!K39</f>
        <v>0</v>
      </c>
      <c r="E32" s="3">
        <f t="shared" si="0"/>
        <v>0</v>
      </c>
      <c r="F32" s="3">
        <f>0</f>
        <v>0</v>
      </c>
      <c r="G32" s="3">
        <f>0</f>
        <v>0</v>
      </c>
      <c r="H32" s="3">
        <f>0</f>
        <v>0</v>
      </c>
      <c r="I32" s="3">
        <f>0</f>
        <v>0</v>
      </c>
      <c r="J32" s="3">
        <f>0</f>
        <v>0</v>
      </c>
      <c r="K32" s="3">
        <f>0</f>
        <v>0</v>
      </c>
      <c r="L32" s="3">
        <f>0</f>
        <v>0</v>
      </c>
      <c r="M32" s="3">
        <f>0</f>
        <v>0</v>
      </c>
      <c r="N32" s="3">
        <f>0</f>
        <v>0</v>
      </c>
      <c r="O32" s="3">
        <f>0</f>
        <v>0</v>
      </c>
      <c r="P32" s="3">
        <f>0</f>
        <v>0</v>
      </c>
      <c r="Q32" s="3">
        <f>0</f>
        <v>0</v>
      </c>
      <c r="R32" s="3">
        <f>0</f>
        <v>0</v>
      </c>
      <c r="S32" s="3">
        <f>0</f>
        <v>0</v>
      </c>
      <c r="T32" s="3">
        <f>0</f>
        <v>0</v>
      </c>
      <c r="U32" s="3">
        <f>0</f>
        <v>0</v>
      </c>
      <c r="V32" s="3">
        <f>0</f>
        <v>0</v>
      </c>
      <c r="W32" s="3">
        <f>0</f>
        <v>0</v>
      </c>
      <c r="X32" s="3">
        <f>0</f>
        <v>0</v>
      </c>
      <c r="Y32" s="3">
        <f>0</f>
        <v>0</v>
      </c>
      <c r="Z32" s="3">
        <f>0</f>
        <v>0</v>
      </c>
      <c r="AA32" s="3">
        <f>0</f>
        <v>0</v>
      </c>
      <c r="AB32" s="3">
        <f>0</f>
        <v>0</v>
      </c>
      <c r="AC32" s="3">
        <f>0</f>
        <v>0</v>
      </c>
      <c r="AD32" s="3">
        <f>0</f>
        <v>0</v>
      </c>
      <c r="AE32" s="3">
        <f>0</f>
        <v>0</v>
      </c>
      <c r="AF32" s="3">
        <f>0</f>
        <v>0</v>
      </c>
      <c r="AG32" s="3">
        <f>0</f>
        <v>0</v>
      </c>
      <c r="AH32" s="3">
        <f>0</f>
        <v>0</v>
      </c>
      <c r="AI32" s="3">
        <f>0</f>
        <v>0</v>
      </c>
      <c r="AJ32" s="3">
        <f>0</f>
        <v>0</v>
      </c>
      <c r="AK32" s="3">
        <f>0</f>
        <v>0</v>
      </c>
      <c r="AL32" s="3">
        <f>0</f>
        <v>0</v>
      </c>
      <c r="AM32" s="3">
        <f>0</f>
        <v>0</v>
      </c>
      <c r="AN32" s="3">
        <f>0</f>
        <v>0</v>
      </c>
      <c r="AO32" s="3">
        <f>0</f>
        <v>0</v>
      </c>
      <c r="AP32" s="3">
        <f>0</f>
        <v>0</v>
      </c>
      <c r="AQ32" s="3">
        <f>0</f>
        <v>0</v>
      </c>
      <c r="AR32" s="3">
        <f>0</f>
        <v>0</v>
      </c>
      <c r="AS32" s="3">
        <f t="shared" si="1"/>
        <v>0</v>
      </c>
    </row>
    <row r="33" spans="1:45">
      <c r="A33">
        <v>19</v>
      </c>
      <c r="B33" t="str">
        <f>'PO BASIS'!B40</f>
        <v>Toegangscontrolesysteem</v>
      </c>
      <c r="C33" t="str">
        <f>Elementclusters!C52</f>
        <v>nee</v>
      </c>
      <c r="D33" s="3">
        <f>'PO BASIS'!K40</f>
        <v>0</v>
      </c>
      <c r="E33" s="3">
        <f t="shared" si="0"/>
        <v>0</v>
      </c>
      <c r="F33" s="3">
        <f>0</f>
        <v>0</v>
      </c>
      <c r="G33" s="3">
        <f>0</f>
        <v>0</v>
      </c>
      <c r="H33" s="3">
        <f>0</f>
        <v>0</v>
      </c>
      <c r="I33" s="3">
        <f>0</f>
        <v>0</v>
      </c>
      <c r="J33" s="3">
        <f>0</f>
        <v>0</v>
      </c>
      <c r="K33" s="3">
        <f>0</f>
        <v>0</v>
      </c>
      <c r="L33" s="3">
        <f>0</f>
        <v>0</v>
      </c>
      <c r="M33" s="3">
        <f>0</f>
        <v>0</v>
      </c>
      <c r="N33" s="3">
        <f>0</f>
        <v>0</v>
      </c>
      <c r="O33" s="3">
        <f>0</f>
        <v>0</v>
      </c>
      <c r="P33" s="3">
        <f>0</f>
        <v>0</v>
      </c>
      <c r="Q33" s="3">
        <f>0</f>
        <v>0</v>
      </c>
      <c r="R33" s="3">
        <f>0</f>
        <v>0</v>
      </c>
      <c r="S33" s="3">
        <f>0</f>
        <v>0</v>
      </c>
      <c r="T33" s="3">
        <f>0</f>
        <v>0</v>
      </c>
      <c r="U33" s="3">
        <f>0</f>
        <v>0</v>
      </c>
      <c r="V33" s="3">
        <f>0</f>
        <v>0</v>
      </c>
      <c r="W33" s="3">
        <f>0</f>
        <v>0</v>
      </c>
      <c r="X33" s="3">
        <f>0</f>
        <v>0</v>
      </c>
      <c r="Y33" s="3">
        <f>0</f>
        <v>0</v>
      </c>
      <c r="Z33" s="3">
        <f>0</f>
        <v>0</v>
      </c>
      <c r="AA33" s="3">
        <f>0</f>
        <v>0</v>
      </c>
      <c r="AB33" s="3">
        <f>0</f>
        <v>0</v>
      </c>
      <c r="AC33" s="3">
        <f>0</f>
        <v>0</v>
      </c>
      <c r="AD33" s="3">
        <f>0</f>
        <v>0</v>
      </c>
      <c r="AE33" s="3">
        <f>0</f>
        <v>0</v>
      </c>
      <c r="AF33" s="3">
        <f>0</f>
        <v>0</v>
      </c>
      <c r="AG33" s="3">
        <f>0</f>
        <v>0</v>
      </c>
      <c r="AH33" s="3">
        <f>0</f>
        <v>0</v>
      </c>
      <c r="AI33" s="3">
        <f>0</f>
        <v>0</v>
      </c>
      <c r="AJ33" s="3">
        <f>0</f>
        <v>0</v>
      </c>
      <c r="AK33" s="3">
        <f>0</f>
        <v>0</v>
      </c>
      <c r="AL33" s="3">
        <f>0</f>
        <v>0</v>
      </c>
      <c r="AM33" s="3">
        <f>0</f>
        <v>0</v>
      </c>
      <c r="AN33" s="3">
        <f>0</f>
        <v>0</v>
      </c>
      <c r="AO33" s="3">
        <f>0</f>
        <v>0</v>
      </c>
      <c r="AP33" s="3">
        <f>0</f>
        <v>0</v>
      </c>
      <c r="AQ33" s="3">
        <f>0</f>
        <v>0</v>
      </c>
      <c r="AR33" s="3">
        <f>0</f>
        <v>0</v>
      </c>
      <c r="AS33" s="3">
        <f t="shared" si="1"/>
        <v>0</v>
      </c>
    </row>
    <row r="34" spans="1:45">
      <c r="A34">
        <v>20</v>
      </c>
      <c r="B34" t="str">
        <f>'PO BASIS'!B41</f>
        <v>Camerasysteem</v>
      </c>
      <c r="C34" t="str">
        <f>Elementclusters!C53</f>
        <v>nee</v>
      </c>
      <c r="D34" s="3">
        <f>'PO BASIS'!K41</f>
        <v>0</v>
      </c>
      <c r="E34" s="3">
        <f t="shared" si="0"/>
        <v>0</v>
      </c>
      <c r="F34" s="3">
        <f>0</f>
        <v>0</v>
      </c>
      <c r="G34" s="3">
        <f>0</f>
        <v>0</v>
      </c>
      <c r="H34" s="3">
        <f>0</f>
        <v>0</v>
      </c>
      <c r="I34" s="3">
        <f>0</f>
        <v>0</v>
      </c>
      <c r="J34" s="3">
        <f>0</f>
        <v>0</v>
      </c>
      <c r="K34" s="3">
        <f>0</f>
        <v>0</v>
      </c>
      <c r="L34" s="3">
        <f>0</f>
        <v>0</v>
      </c>
      <c r="M34" s="3">
        <f>0</f>
        <v>0</v>
      </c>
      <c r="N34" s="3">
        <f>0</f>
        <v>0</v>
      </c>
      <c r="O34" s="3">
        <f>0</f>
        <v>0</v>
      </c>
      <c r="P34" s="3">
        <f>0</f>
        <v>0</v>
      </c>
      <c r="Q34" s="3">
        <f>0</f>
        <v>0</v>
      </c>
      <c r="R34" s="3">
        <f>0</f>
        <v>0</v>
      </c>
      <c r="S34" s="3">
        <f>0</f>
        <v>0</v>
      </c>
      <c r="T34" s="3">
        <f>0</f>
        <v>0</v>
      </c>
      <c r="U34" s="3">
        <f>0</f>
        <v>0</v>
      </c>
      <c r="V34" s="3">
        <f>0</f>
        <v>0</v>
      </c>
      <c r="W34" s="3">
        <f>0</f>
        <v>0</v>
      </c>
      <c r="X34" s="3">
        <f>0</f>
        <v>0</v>
      </c>
      <c r="Y34" s="3">
        <f>0</f>
        <v>0</v>
      </c>
      <c r="Z34" s="3">
        <f>0</f>
        <v>0</v>
      </c>
      <c r="AA34" s="3">
        <f>0</f>
        <v>0</v>
      </c>
      <c r="AB34" s="3">
        <f>0</f>
        <v>0</v>
      </c>
      <c r="AC34" s="3">
        <f>0</f>
        <v>0</v>
      </c>
      <c r="AD34" s="3">
        <f>0</f>
        <v>0</v>
      </c>
      <c r="AE34" s="3">
        <f>0</f>
        <v>0</v>
      </c>
      <c r="AF34" s="3">
        <f>0</f>
        <v>0</v>
      </c>
      <c r="AG34" s="3">
        <f>0</f>
        <v>0</v>
      </c>
      <c r="AH34" s="3">
        <f>0</f>
        <v>0</v>
      </c>
      <c r="AI34" s="3">
        <f>0</f>
        <v>0</v>
      </c>
      <c r="AJ34" s="3">
        <f>0</f>
        <v>0</v>
      </c>
      <c r="AK34" s="3">
        <f>0</f>
        <v>0</v>
      </c>
      <c r="AL34" s="3">
        <f>0</f>
        <v>0</v>
      </c>
      <c r="AM34" s="3">
        <f>0</f>
        <v>0</v>
      </c>
      <c r="AN34" s="3">
        <f>0</f>
        <v>0</v>
      </c>
      <c r="AO34" s="3">
        <f>0</f>
        <v>0</v>
      </c>
      <c r="AP34" s="3">
        <f>0</f>
        <v>0</v>
      </c>
      <c r="AQ34" s="3">
        <f>0</f>
        <v>0</v>
      </c>
      <c r="AR34" s="3">
        <f>0</f>
        <v>0</v>
      </c>
      <c r="AS34" s="3">
        <f t="shared" si="1"/>
        <v>0</v>
      </c>
    </row>
    <row r="35" spans="1:45">
      <c r="A35">
        <v>21</v>
      </c>
      <c r="B35" t="str">
        <f>'PO BASIS'!B42</f>
        <v>Vandaalbestendigheidsmaatregelen</v>
      </c>
      <c r="C35" t="str">
        <f>Elementclusters!C54</f>
        <v>nee</v>
      </c>
      <c r="D35" s="3">
        <f>'PO BASIS'!K42</f>
        <v>0</v>
      </c>
      <c r="E35" s="3">
        <f t="shared" si="0"/>
        <v>0</v>
      </c>
      <c r="F35" s="3">
        <f>0</f>
        <v>0</v>
      </c>
      <c r="G35" s="3">
        <f>0</f>
        <v>0</v>
      </c>
      <c r="H35" s="3">
        <f>0</f>
        <v>0</v>
      </c>
      <c r="I35" s="3">
        <f>0</f>
        <v>0</v>
      </c>
      <c r="J35" s="3">
        <f>0</f>
        <v>0</v>
      </c>
      <c r="K35" s="3">
        <f>0</f>
        <v>0</v>
      </c>
      <c r="L35" s="3">
        <f>0</f>
        <v>0</v>
      </c>
      <c r="M35" s="3">
        <f>0</f>
        <v>0</v>
      </c>
      <c r="N35" s="3">
        <f>0</f>
        <v>0</v>
      </c>
      <c r="O35" s="3">
        <f>0</f>
        <v>0</v>
      </c>
      <c r="P35" s="3">
        <f>0</f>
        <v>0</v>
      </c>
      <c r="Q35" s="3">
        <f>0</f>
        <v>0</v>
      </c>
      <c r="R35" s="3">
        <f>0</f>
        <v>0</v>
      </c>
      <c r="S35" s="3">
        <f>0</f>
        <v>0</v>
      </c>
      <c r="T35" s="3">
        <f>0</f>
        <v>0</v>
      </c>
      <c r="U35" s="3">
        <f>0</f>
        <v>0</v>
      </c>
      <c r="V35" s="3">
        <f>0</f>
        <v>0</v>
      </c>
      <c r="W35" s="3">
        <f>0</f>
        <v>0</v>
      </c>
      <c r="X35" s="3">
        <f>0</f>
        <v>0</v>
      </c>
      <c r="Y35" s="3">
        <f>0</f>
        <v>0</v>
      </c>
      <c r="Z35" s="3">
        <f>0</f>
        <v>0</v>
      </c>
      <c r="AA35" s="3">
        <f>0</f>
        <v>0</v>
      </c>
      <c r="AB35" s="3">
        <f>0</f>
        <v>0</v>
      </c>
      <c r="AC35" s="3">
        <f>0</f>
        <v>0</v>
      </c>
      <c r="AD35" s="3">
        <f>0</f>
        <v>0</v>
      </c>
      <c r="AE35" s="3">
        <f>0</f>
        <v>0</v>
      </c>
      <c r="AF35" s="3">
        <f>0</f>
        <v>0</v>
      </c>
      <c r="AG35" s="3">
        <f>0</f>
        <v>0</v>
      </c>
      <c r="AH35" s="3">
        <f>0</f>
        <v>0</v>
      </c>
      <c r="AI35" s="3">
        <f>0</f>
        <v>0</v>
      </c>
      <c r="AJ35" s="3">
        <f>0</f>
        <v>0</v>
      </c>
      <c r="AK35" s="3">
        <f>0</f>
        <v>0</v>
      </c>
      <c r="AL35" s="3">
        <f>0</f>
        <v>0</v>
      </c>
      <c r="AM35" s="3">
        <f>0</f>
        <v>0</v>
      </c>
      <c r="AN35" s="3">
        <f>0</f>
        <v>0</v>
      </c>
      <c r="AO35" s="3">
        <f>0</f>
        <v>0</v>
      </c>
      <c r="AP35" s="3">
        <f>0</f>
        <v>0</v>
      </c>
      <c r="AQ35" s="3">
        <f>0</f>
        <v>0</v>
      </c>
      <c r="AR35" s="3">
        <f>0</f>
        <v>0</v>
      </c>
      <c r="AS35" s="3">
        <f t="shared" si="1"/>
        <v>0</v>
      </c>
    </row>
    <row r="36" spans="1:45">
      <c r="A36">
        <v>22</v>
      </c>
      <c r="B36" t="str">
        <f>'PO BASIS'!B43</f>
        <v>Slim gebouw</v>
      </c>
      <c r="C36" t="str">
        <f>Elementclusters!C55</f>
        <v>nee</v>
      </c>
      <c r="D36" s="3">
        <f>'PO BASIS'!K43</f>
        <v>0</v>
      </c>
      <c r="E36" s="3">
        <f t="shared" si="0"/>
        <v>0</v>
      </c>
      <c r="F36" s="3">
        <f>0</f>
        <v>0</v>
      </c>
      <c r="G36" s="3">
        <f>0</f>
        <v>0</v>
      </c>
      <c r="H36" s="3">
        <f>0</f>
        <v>0</v>
      </c>
      <c r="I36" s="3">
        <f>0</f>
        <v>0</v>
      </c>
      <c r="J36" s="3">
        <f>0</f>
        <v>0</v>
      </c>
      <c r="K36" s="3">
        <f>0</f>
        <v>0</v>
      </c>
      <c r="L36" s="3">
        <f>0</f>
        <v>0</v>
      </c>
      <c r="M36" s="3">
        <f>0</f>
        <v>0</v>
      </c>
      <c r="N36" s="3">
        <f>0</f>
        <v>0</v>
      </c>
      <c r="O36" s="3">
        <f>0</f>
        <v>0</v>
      </c>
      <c r="P36" s="3">
        <f>0</f>
        <v>0</v>
      </c>
      <c r="Q36" s="3">
        <f>0</f>
        <v>0</v>
      </c>
      <c r="R36" s="3">
        <f>0</f>
        <v>0</v>
      </c>
      <c r="S36" s="3">
        <f>0</f>
        <v>0</v>
      </c>
      <c r="T36" s="3">
        <f>0</f>
        <v>0</v>
      </c>
      <c r="U36" s="3">
        <f>0</f>
        <v>0</v>
      </c>
      <c r="V36" s="3">
        <f>0</f>
        <v>0</v>
      </c>
      <c r="W36" s="3">
        <f>0</f>
        <v>0</v>
      </c>
      <c r="X36" s="3">
        <f>0</f>
        <v>0</v>
      </c>
      <c r="Y36" s="3">
        <f>0</f>
        <v>0</v>
      </c>
      <c r="Z36" s="3">
        <f>0</f>
        <v>0</v>
      </c>
      <c r="AA36" s="3">
        <f>0</f>
        <v>0</v>
      </c>
      <c r="AB36" s="3">
        <f>0</f>
        <v>0</v>
      </c>
      <c r="AC36" s="3">
        <f>0</f>
        <v>0</v>
      </c>
      <c r="AD36" s="3">
        <f>0</f>
        <v>0</v>
      </c>
      <c r="AE36" s="3">
        <f>0</f>
        <v>0</v>
      </c>
      <c r="AF36" s="3">
        <f>0</f>
        <v>0</v>
      </c>
      <c r="AG36" s="3">
        <f>0</f>
        <v>0</v>
      </c>
      <c r="AH36" s="3">
        <f>0</f>
        <v>0</v>
      </c>
      <c r="AI36" s="3">
        <f>0</f>
        <v>0</v>
      </c>
      <c r="AJ36" s="3">
        <f>0</f>
        <v>0</v>
      </c>
      <c r="AK36" s="3">
        <f>0</f>
        <v>0</v>
      </c>
      <c r="AL36" s="3">
        <f>0</f>
        <v>0</v>
      </c>
      <c r="AM36" s="3">
        <f>0</f>
        <v>0</v>
      </c>
      <c r="AN36" s="3">
        <f>0</f>
        <v>0</v>
      </c>
      <c r="AO36" s="3">
        <f>0</f>
        <v>0</v>
      </c>
      <c r="AP36" s="3">
        <f>0</f>
        <v>0</v>
      </c>
      <c r="AQ36" s="3">
        <f>0</f>
        <v>0</v>
      </c>
      <c r="AR36" s="3">
        <f>0</f>
        <v>0</v>
      </c>
      <c r="AS36" s="3">
        <f t="shared" si="1"/>
        <v>0</v>
      </c>
    </row>
    <row r="37" spans="1:45">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c r="B40" s="4" t="s">
        <v>641</v>
      </c>
      <c r="C40" s="4"/>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c r="A41">
        <v>23</v>
      </c>
      <c r="B41" t="str">
        <f>'PO BASIS'!$B$47</f>
        <v>Heffingen</v>
      </c>
      <c r="D41" s="3">
        <f>'PO BASIS'!$K$47</f>
        <v>10.67</v>
      </c>
      <c r="E41" s="3">
        <f>0</f>
        <v>0</v>
      </c>
      <c r="F41" s="3">
        <f t="shared" ref="F37:F47" si="2">IF($D41="", "", $D41*(1+$B$5)^0*$B$6)</f>
        <v>0</v>
      </c>
      <c r="G41" s="3">
        <f t="shared" ref="G37:G47" si="3">IF($D41="", "", $D41*(1+$B$5)^1*$B$6)</f>
        <v>0</v>
      </c>
      <c r="H41" s="3">
        <f t="shared" ref="H37:H47" si="4">IF($D41="", "", $D41*(1+$B$5)^2*$B$6)</f>
        <v>0</v>
      </c>
      <c r="I41" s="3">
        <f t="shared" ref="I37:I47" si="5">IF($D41="", "", $D41*(1+$B$5)^3*$B$6)</f>
        <v>0</v>
      </c>
      <c r="J41" s="3">
        <f t="shared" ref="J37:J47" si="6">IF($D41="", "", $D41*(1+$B$5)^4*$B$6)</f>
        <v>0</v>
      </c>
      <c r="K41" s="3">
        <f t="shared" ref="K37:K47" si="7">IF($D41="", "", $D41*(1+$B$5)^5*$B$6)</f>
        <v>0</v>
      </c>
      <c r="L41" s="3">
        <f t="shared" ref="L37:L47" si="8">IF($D41="", "", $D41*(1+$B$5)^6*$B$6)</f>
        <v>0</v>
      </c>
      <c r="M41" s="3">
        <f t="shared" ref="M37:M47" si="9">IF($D41="", "", $D41*(1+$B$5)^7*$B$6)</f>
        <v>0</v>
      </c>
      <c r="N41" s="3">
        <f t="shared" ref="N37:N47" si="10">IF($D41="", "", $D41*(1+$B$5)^8*$B$6)</f>
        <v>0</v>
      </c>
      <c r="O41" s="3">
        <f t="shared" ref="O37:O47" si="11">IF($D41="", "", $D41*(1+$B$5)^9*$B$6)</f>
        <v>0</v>
      </c>
      <c r="P41" s="3">
        <f t="shared" ref="P37:P47" si="12">IF($D41="", "", $D41*(1+$B$5)^10*$B$6)</f>
        <v>0</v>
      </c>
      <c r="Q41" s="3">
        <f t="shared" ref="Q37:Q47" si="13">IF($D41="", "", $D41*(1+$B$5)^11*$B$6)</f>
        <v>0</v>
      </c>
      <c r="R41" s="3">
        <f t="shared" ref="R37:R47" si="14">IF($D41="", "", $D41*(1+$B$5)^12*$B$6)</f>
        <v>0</v>
      </c>
      <c r="S41" s="3">
        <f t="shared" ref="S37:S47" si="15">IF($D41="", "", $D41*(1+$B$5)^13*$B$6)</f>
        <v>0</v>
      </c>
      <c r="T41" s="3">
        <f t="shared" ref="T37:T47" si="16">IF($D41="", "", $D41*(1+$B$5)^14*$B$6)</f>
        <v>0</v>
      </c>
      <c r="U41" s="3">
        <f t="shared" ref="U37:U47" si="17">IF($D41="", "", $D41*(1+$B$5)^15*$B$6)</f>
        <v>0</v>
      </c>
      <c r="V41" s="3">
        <f t="shared" ref="V37:V47" si="18">IF($D41="", "", $D41*(1+$B$5)^16*$B$6)</f>
        <v>0</v>
      </c>
      <c r="W41" s="3">
        <f t="shared" ref="W37:W47" si="19">IF($D41="", "", $D41*(1+$B$5)^17*$B$6)</f>
        <v>0</v>
      </c>
      <c r="X41" s="3">
        <f t="shared" ref="X37:X47" si="20">IF($D41="", "", $D41*(1+$B$5)^18*$B$6)</f>
        <v>0</v>
      </c>
      <c r="Y41" s="3">
        <f t="shared" ref="Y37:Y47" si="21">IF($D41="", "", $D41*(1+$B$5)^19*$B$6)</f>
        <v>0</v>
      </c>
      <c r="Z41" s="3">
        <f t="shared" ref="Z37:Z47" si="22">IF($D41="", "", $D41*(1+$B$5)^20*$B$6)</f>
        <v>0</v>
      </c>
      <c r="AA41" s="3">
        <f t="shared" ref="AA37:AA47" si="23">IF($D41="", "", $D41*(1+$B$5)^21*$B$6)</f>
        <v>0</v>
      </c>
      <c r="AB41" s="3">
        <f t="shared" ref="AB37:AB47" si="24">IF($D41="", "", $D41*(1+$B$5)^22*$B$6)</f>
        <v>0</v>
      </c>
      <c r="AC41" s="3">
        <f t="shared" ref="AC37:AC47" si="25">IF($D41="", "", $D41*(1+$B$5)^23*$B$6)</f>
        <v>0</v>
      </c>
      <c r="AD41" s="3">
        <f t="shared" ref="AD37:AD47" si="26">IF($D41="", "", $D41*(1+$B$5)^24*$B$6)</f>
        <v>0</v>
      </c>
      <c r="AE41" s="3">
        <f t="shared" ref="AE37:AE47" si="27">IF($D41="", "", $D41*(1+$B$5)^25*$B$6)</f>
        <v>0</v>
      </c>
      <c r="AF41" s="3">
        <f t="shared" ref="AF37:AF47" si="28">IF($D41="", "", $D41*(1+$B$5)^26*$B$6)</f>
        <v>0</v>
      </c>
      <c r="AG41" s="3">
        <f t="shared" ref="AG37:AG47" si="29">IF($D41="", "", $D41*(1+$B$5)^27*$B$6)</f>
        <v>0</v>
      </c>
      <c r="AH41" s="3">
        <f t="shared" ref="AH37:AH47" si="30">IF($D41="", "", $D41*(1+$B$5)^28*$B$6)</f>
        <v>0</v>
      </c>
      <c r="AI41" s="3">
        <f t="shared" ref="AI37:AI47" si="31">IF($D41="", "", $D41*(1+$B$5)^29*$B$6)</f>
        <v>0</v>
      </c>
      <c r="AJ41" s="3">
        <f t="shared" ref="AJ37:AJ47" si="32">IF($D41="", "", $D41*(1+$B$5)^30*$B$6)</f>
        <v>0</v>
      </c>
      <c r="AK41" s="3">
        <f t="shared" ref="AK37:AK47" si="33">IF($D41="", "", $D41*(1+$B$5)^31*$B$6)</f>
        <v>0</v>
      </c>
      <c r="AL41" s="3">
        <f t="shared" ref="AL37:AL47" si="34">IF($D41="", "", $D41*(1+$B$5)^32*$B$6)</f>
        <v>0</v>
      </c>
      <c r="AM41" s="3">
        <f t="shared" ref="AM37:AM47" si="35">IF($D41="", "", $D41*(1+$B$5)^33*$B$6)</f>
        <v>0</v>
      </c>
      <c r="AN41" s="3">
        <f t="shared" ref="AN37:AN47" si="36">IF($D41="", "", $D41*(1+$B$5)^34*$B$6)</f>
        <v>0</v>
      </c>
      <c r="AO41" s="3">
        <f t="shared" ref="AO37:AO47" si="37">IF($D41="", "", $D41*(1+$B$5)^35*$B$6)</f>
        <v>0</v>
      </c>
      <c r="AP41" s="3">
        <f t="shared" ref="AP37:AP47" si="38">IF($D41="", "", $D41*(1+$B$5)^36*$B$6)</f>
        <v>0</v>
      </c>
      <c r="AQ41" s="3">
        <f t="shared" ref="AQ37:AQ47" si="39">IF($D41="", "", $D41*(1+$B$5)^37*$B$6)</f>
        <v>0</v>
      </c>
      <c r="AR41" s="3">
        <f t="shared" ref="AR37:AR47" si="40">IF($D41="", "", $D41*(1+$B$5)^38*$B$6)</f>
        <v>0</v>
      </c>
      <c r="AS41" s="3">
        <f>IF($D41="", "", SUMPRODUCT(E41:AR41, E7:AR7))</f>
        <v>0</v>
      </c>
    </row>
    <row r="42" spans="1:45">
      <c r="A42">
        <v>24</v>
      </c>
      <c r="B42" t="str">
        <f>'PO BASIS'!$B$48</f>
        <v>Verzekeringen</v>
      </c>
      <c r="D42" s="3">
        <f>'PO BASIS'!$K$48</f>
        <v>4.8499999999999996</v>
      </c>
      <c r="E42" s="3">
        <f>0</f>
        <v>0</v>
      </c>
      <c r="F42" s="3">
        <f t="shared" si="2"/>
        <v>0</v>
      </c>
      <c r="G42" s="3">
        <f t="shared" si="3"/>
        <v>0</v>
      </c>
      <c r="H42" s="3">
        <f t="shared" si="4"/>
        <v>0</v>
      </c>
      <c r="I42" s="3">
        <f t="shared" si="5"/>
        <v>0</v>
      </c>
      <c r="J42" s="3">
        <f t="shared" si="6"/>
        <v>0</v>
      </c>
      <c r="K42" s="3">
        <f t="shared" si="7"/>
        <v>0</v>
      </c>
      <c r="L42" s="3">
        <f t="shared" si="8"/>
        <v>0</v>
      </c>
      <c r="M42" s="3">
        <f t="shared" si="9"/>
        <v>0</v>
      </c>
      <c r="N42" s="3">
        <f t="shared" si="10"/>
        <v>0</v>
      </c>
      <c r="O42" s="3">
        <f t="shared" si="11"/>
        <v>0</v>
      </c>
      <c r="P42" s="3">
        <f t="shared" si="12"/>
        <v>0</v>
      </c>
      <c r="Q42" s="3">
        <f t="shared" si="13"/>
        <v>0</v>
      </c>
      <c r="R42" s="3">
        <f t="shared" si="14"/>
        <v>0</v>
      </c>
      <c r="S42" s="3">
        <f t="shared" si="15"/>
        <v>0</v>
      </c>
      <c r="T42" s="3">
        <f t="shared" si="16"/>
        <v>0</v>
      </c>
      <c r="U42" s="3">
        <f t="shared" si="17"/>
        <v>0</v>
      </c>
      <c r="V42" s="3">
        <f t="shared" si="18"/>
        <v>0</v>
      </c>
      <c r="W42" s="3">
        <f t="shared" si="19"/>
        <v>0</v>
      </c>
      <c r="X42" s="3">
        <f t="shared" si="20"/>
        <v>0</v>
      </c>
      <c r="Y42" s="3">
        <f t="shared" si="21"/>
        <v>0</v>
      </c>
      <c r="Z42" s="3">
        <f t="shared" si="22"/>
        <v>0</v>
      </c>
      <c r="AA42" s="3">
        <f t="shared" si="23"/>
        <v>0</v>
      </c>
      <c r="AB42" s="3">
        <f t="shared" si="24"/>
        <v>0</v>
      </c>
      <c r="AC42" s="3">
        <f t="shared" si="25"/>
        <v>0</v>
      </c>
      <c r="AD42" s="3">
        <f t="shared" si="26"/>
        <v>0</v>
      </c>
      <c r="AE42" s="3">
        <f t="shared" si="27"/>
        <v>0</v>
      </c>
      <c r="AF42" s="3">
        <f t="shared" si="28"/>
        <v>0</v>
      </c>
      <c r="AG42" s="3">
        <f t="shared" si="29"/>
        <v>0</v>
      </c>
      <c r="AH42" s="3">
        <f t="shared" si="30"/>
        <v>0</v>
      </c>
      <c r="AI42" s="3">
        <f t="shared" si="31"/>
        <v>0</v>
      </c>
      <c r="AJ42" s="3">
        <f t="shared" si="32"/>
        <v>0</v>
      </c>
      <c r="AK42" s="3">
        <f t="shared" si="33"/>
        <v>0</v>
      </c>
      <c r="AL42" s="3">
        <f t="shared" si="34"/>
        <v>0</v>
      </c>
      <c r="AM42" s="3">
        <f t="shared" si="35"/>
        <v>0</v>
      </c>
      <c r="AN42" s="3">
        <f t="shared" si="36"/>
        <v>0</v>
      </c>
      <c r="AO42" s="3">
        <f t="shared" si="37"/>
        <v>0</v>
      </c>
      <c r="AP42" s="3">
        <f t="shared" si="38"/>
        <v>0</v>
      </c>
      <c r="AQ42" s="3">
        <f t="shared" si="39"/>
        <v>0</v>
      </c>
      <c r="AR42" s="3">
        <f t="shared" si="40"/>
        <v>0</v>
      </c>
      <c r="AS42" s="3">
        <f>IF($D42="", "", SUMPRODUCT(E42:AR42, E7:AR7))</f>
        <v>0</v>
      </c>
    </row>
    <row r="43" spans="1:45">
      <c r="A43">
        <v>25</v>
      </c>
      <c r="B43" t="str">
        <f>'PO BASIS'!$B$49</f>
        <v>Onderhoud</v>
      </c>
      <c r="D43" s="3">
        <f>'PO BASIS'!$K$49</f>
        <v>47.413599999999995</v>
      </c>
      <c r="E43" s="3">
        <f>0</f>
        <v>0</v>
      </c>
      <c r="F43" s="3">
        <f t="shared" si="2"/>
        <v>0</v>
      </c>
      <c r="G43" s="3">
        <f t="shared" si="3"/>
        <v>0</v>
      </c>
      <c r="H43" s="3">
        <f t="shared" si="4"/>
        <v>0</v>
      </c>
      <c r="I43" s="3">
        <f t="shared" si="5"/>
        <v>0</v>
      </c>
      <c r="J43" s="3">
        <f t="shared" si="6"/>
        <v>0</v>
      </c>
      <c r="K43" s="3">
        <f t="shared" si="7"/>
        <v>0</v>
      </c>
      <c r="L43" s="3">
        <f t="shared" si="8"/>
        <v>0</v>
      </c>
      <c r="M43" s="3">
        <f t="shared" si="9"/>
        <v>0</v>
      </c>
      <c r="N43" s="3">
        <f t="shared" si="10"/>
        <v>0</v>
      </c>
      <c r="O43" s="3">
        <f t="shared" si="11"/>
        <v>0</v>
      </c>
      <c r="P43" s="3">
        <f t="shared" si="12"/>
        <v>0</v>
      </c>
      <c r="Q43" s="3">
        <f t="shared" si="13"/>
        <v>0</v>
      </c>
      <c r="R43" s="3">
        <f t="shared" si="14"/>
        <v>0</v>
      </c>
      <c r="S43" s="3">
        <f t="shared" si="15"/>
        <v>0</v>
      </c>
      <c r="T43" s="3">
        <f t="shared" si="16"/>
        <v>0</v>
      </c>
      <c r="U43" s="3">
        <f t="shared" si="17"/>
        <v>0</v>
      </c>
      <c r="V43" s="3">
        <f t="shared" si="18"/>
        <v>0</v>
      </c>
      <c r="W43" s="3">
        <f t="shared" si="19"/>
        <v>0</v>
      </c>
      <c r="X43" s="3">
        <f t="shared" si="20"/>
        <v>0</v>
      </c>
      <c r="Y43" s="3">
        <f t="shared" si="21"/>
        <v>0</v>
      </c>
      <c r="Z43" s="3">
        <f t="shared" si="22"/>
        <v>0</v>
      </c>
      <c r="AA43" s="3">
        <f t="shared" si="23"/>
        <v>0</v>
      </c>
      <c r="AB43" s="3">
        <f t="shared" si="24"/>
        <v>0</v>
      </c>
      <c r="AC43" s="3">
        <f t="shared" si="25"/>
        <v>0</v>
      </c>
      <c r="AD43" s="3">
        <f t="shared" si="26"/>
        <v>0</v>
      </c>
      <c r="AE43" s="3">
        <f t="shared" si="27"/>
        <v>0</v>
      </c>
      <c r="AF43" s="3">
        <f t="shared" si="28"/>
        <v>0</v>
      </c>
      <c r="AG43" s="3">
        <f t="shared" si="29"/>
        <v>0</v>
      </c>
      <c r="AH43" s="3">
        <f t="shared" si="30"/>
        <v>0</v>
      </c>
      <c r="AI43" s="3">
        <f t="shared" si="31"/>
        <v>0</v>
      </c>
      <c r="AJ43" s="3">
        <f t="shared" si="32"/>
        <v>0</v>
      </c>
      <c r="AK43" s="3">
        <f t="shared" si="33"/>
        <v>0</v>
      </c>
      <c r="AL43" s="3">
        <f t="shared" si="34"/>
        <v>0</v>
      </c>
      <c r="AM43" s="3">
        <f t="shared" si="35"/>
        <v>0</v>
      </c>
      <c r="AN43" s="3">
        <f t="shared" si="36"/>
        <v>0</v>
      </c>
      <c r="AO43" s="3">
        <f t="shared" si="37"/>
        <v>0</v>
      </c>
      <c r="AP43" s="3">
        <f t="shared" si="38"/>
        <v>0</v>
      </c>
      <c r="AQ43" s="3">
        <f t="shared" si="39"/>
        <v>0</v>
      </c>
      <c r="AR43" s="3">
        <f t="shared" si="40"/>
        <v>0</v>
      </c>
      <c r="AS43" s="3">
        <f>IF($D43="", "", SUMPRODUCT(E43:AR43, E7:AR7))</f>
        <v>0</v>
      </c>
    </row>
    <row r="44" spans="1:45">
      <c r="A44">
        <v>26</v>
      </c>
      <c r="B44" t="str">
        <f>'PO BASIS'!$B$50</f>
        <v>Verbruik</v>
      </c>
      <c r="D44" s="3">
        <f>'PO BASIS'!$K$50</f>
        <v>11.96</v>
      </c>
      <c r="E44" s="3">
        <f>0</f>
        <v>0</v>
      </c>
      <c r="F44" s="3">
        <f t="shared" si="2"/>
        <v>0</v>
      </c>
      <c r="G44" s="3">
        <f t="shared" si="3"/>
        <v>0</v>
      </c>
      <c r="H44" s="3">
        <f t="shared" si="4"/>
        <v>0</v>
      </c>
      <c r="I44" s="3">
        <f t="shared" si="5"/>
        <v>0</v>
      </c>
      <c r="J44" s="3">
        <f t="shared" si="6"/>
        <v>0</v>
      </c>
      <c r="K44" s="3">
        <f t="shared" si="7"/>
        <v>0</v>
      </c>
      <c r="L44" s="3">
        <f t="shared" si="8"/>
        <v>0</v>
      </c>
      <c r="M44" s="3">
        <f t="shared" si="9"/>
        <v>0</v>
      </c>
      <c r="N44" s="3">
        <f t="shared" si="10"/>
        <v>0</v>
      </c>
      <c r="O44" s="3">
        <f t="shared" si="11"/>
        <v>0</v>
      </c>
      <c r="P44" s="3">
        <f t="shared" si="12"/>
        <v>0</v>
      </c>
      <c r="Q44" s="3">
        <f t="shared" si="13"/>
        <v>0</v>
      </c>
      <c r="R44" s="3">
        <f t="shared" si="14"/>
        <v>0</v>
      </c>
      <c r="S44" s="3">
        <f t="shared" si="15"/>
        <v>0</v>
      </c>
      <c r="T44" s="3">
        <f t="shared" si="16"/>
        <v>0</v>
      </c>
      <c r="U44" s="3">
        <f t="shared" si="17"/>
        <v>0</v>
      </c>
      <c r="V44" s="3">
        <f t="shared" si="18"/>
        <v>0</v>
      </c>
      <c r="W44" s="3">
        <f t="shared" si="19"/>
        <v>0</v>
      </c>
      <c r="X44" s="3">
        <f t="shared" si="20"/>
        <v>0</v>
      </c>
      <c r="Y44" s="3">
        <f t="shared" si="21"/>
        <v>0</v>
      </c>
      <c r="Z44" s="3">
        <f t="shared" si="22"/>
        <v>0</v>
      </c>
      <c r="AA44" s="3">
        <f t="shared" si="23"/>
        <v>0</v>
      </c>
      <c r="AB44" s="3">
        <f t="shared" si="24"/>
        <v>0</v>
      </c>
      <c r="AC44" s="3">
        <f t="shared" si="25"/>
        <v>0</v>
      </c>
      <c r="AD44" s="3">
        <f t="shared" si="26"/>
        <v>0</v>
      </c>
      <c r="AE44" s="3">
        <f t="shared" si="27"/>
        <v>0</v>
      </c>
      <c r="AF44" s="3">
        <f t="shared" si="28"/>
        <v>0</v>
      </c>
      <c r="AG44" s="3">
        <f t="shared" si="29"/>
        <v>0</v>
      </c>
      <c r="AH44" s="3">
        <f t="shared" si="30"/>
        <v>0</v>
      </c>
      <c r="AI44" s="3">
        <f t="shared" si="31"/>
        <v>0</v>
      </c>
      <c r="AJ44" s="3">
        <f t="shared" si="32"/>
        <v>0</v>
      </c>
      <c r="AK44" s="3">
        <f t="shared" si="33"/>
        <v>0</v>
      </c>
      <c r="AL44" s="3">
        <f t="shared" si="34"/>
        <v>0</v>
      </c>
      <c r="AM44" s="3">
        <f t="shared" si="35"/>
        <v>0</v>
      </c>
      <c r="AN44" s="3">
        <f t="shared" si="36"/>
        <v>0</v>
      </c>
      <c r="AO44" s="3">
        <f t="shared" si="37"/>
        <v>0</v>
      </c>
      <c r="AP44" s="3">
        <f t="shared" si="38"/>
        <v>0</v>
      </c>
      <c r="AQ44" s="3">
        <f t="shared" si="39"/>
        <v>0</v>
      </c>
      <c r="AR44" s="3">
        <f t="shared" si="40"/>
        <v>0</v>
      </c>
      <c r="AS44" s="3">
        <f>IF($D44="", "", SUMPRODUCT(E44:AR44, E7:AR7))</f>
        <v>0</v>
      </c>
    </row>
    <row r="45" spans="1:45">
      <c r="A45">
        <v>27</v>
      </c>
      <c r="B45" t="str">
        <f>'PO BASIS'!$B$51</f>
        <v>Beheerskosten</v>
      </c>
      <c r="D45" s="3">
        <f>'PO BASIS'!$K$51</f>
        <v>0</v>
      </c>
      <c r="E45" s="3">
        <f>0</f>
        <v>0</v>
      </c>
      <c r="F45" s="3">
        <f t="shared" si="2"/>
        <v>0</v>
      </c>
      <c r="G45" s="3">
        <f t="shared" si="3"/>
        <v>0</v>
      </c>
      <c r="H45" s="3">
        <f t="shared" si="4"/>
        <v>0</v>
      </c>
      <c r="I45" s="3">
        <f t="shared" si="5"/>
        <v>0</v>
      </c>
      <c r="J45" s="3">
        <f t="shared" si="6"/>
        <v>0</v>
      </c>
      <c r="K45" s="3">
        <f t="shared" si="7"/>
        <v>0</v>
      </c>
      <c r="L45" s="3">
        <f t="shared" si="8"/>
        <v>0</v>
      </c>
      <c r="M45" s="3">
        <f t="shared" si="9"/>
        <v>0</v>
      </c>
      <c r="N45" s="3">
        <f t="shared" si="10"/>
        <v>0</v>
      </c>
      <c r="O45" s="3">
        <f t="shared" si="11"/>
        <v>0</v>
      </c>
      <c r="P45" s="3">
        <f t="shared" si="12"/>
        <v>0</v>
      </c>
      <c r="Q45" s="3">
        <f t="shared" si="13"/>
        <v>0</v>
      </c>
      <c r="R45" s="3">
        <f t="shared" si="14"/>
        <v>0</v>
      </c>
      <c r="S45" s="3">
        <f t="shared" si="15"/>
        <v>0</v>
      </c>
      <c r="T45" s="3">
        <f t="shared" si="16"/>
        <v>0</v>
      </c>
      <c r="U45" s="3">
        <f t="shared" si="17"/>
        <v>0</v>
      </c>
      <c r="V45" s="3">
        <f t="shared" si="18"/>
        <v>0</v>
      </c>
      <c r="W45" s="3">
        <f t="shared" si="19"/>
        <v>0</v>
      </c>
      <c r="X45" s="3">
        <f t="shared" si="20"/>
        <v>0</v>
      </c>
      <c r="Y45" s="3">
        <f t="shared" si="21"/>
        <v>0</v>
      </c>
      <c r="Z45" s="3">
        <f t="shared" si="22"/>
        <v>0</v>
      </c>
      <c r="AA45" s="3">
        <f t="shared" si="23"/>
        <v>0</v>
      </c>
      <c r="AB45" s="3">
        <f t="shared" si="24"/>
        <v>0</v>
      </c>
      <c r="AC45" s="3">
        <f t="shared" si="25"/>
        <v>0</v>
      </c>
      <c r="AD45" s="3">
        <f t="shared" si="26"/>
        <v>0</v>
      </c>
      <c r="AE45" s="3">
        <f t="shared" si="27"/>
        <v>0</v>
      </c>
      <c r="AF45" s="3">
        <f t="shared" si="28"/>
        <v>0</v>
      </c>
      <c r="AG45" s="3">
        <f t="shared" si="29"/>
        <v>0</v>
      </c>
      <c r="AH45" s="3">
        <f t="shared" si="30"/>
        <v>0</v>
      </c>
      <c r="AI45" s="3">
        <f t="shared" si="31"/>
        <v>0</v>
      </c>
      <c r="AJ45" s="3">
        <f t="shared" si="32"/>
        <v>0</v>
      </c>
      <c r="AK45" s="3">
        <f t="shared" si="33"/>
        <v>0</v>
      </c>
      <c r="AL45" s="3">
        <f t="shared" si="34"/>
        <v>0</v>
      </c>
      <c r="AM45" s="3">
        <f t="shared" si="35"/>
        <v>0</v>
      </c>
      <c r="AN45" s="3">
        <f t="shared" si="36"/>
        <v>0</v>
      </c>
      <c r="AO45" s="3">
        <f t="shared" si="37"/>
        <v>0</v>
      </c>
      <c r="AP45" s="3">
        <f t="shared" si="38"/>
        <v>0</v>
      </c>
      <c r="AQ45" s="3">
        <f t="shared" si="39"/>
        <v>0</v>
      </c>
      <c r="AR45" s="3">
        <f t="shared" si="40"/>
        <v>0</v>
      </c>
      <c r="AS45" s="3">
        <f>IF($D45="", "", SUMPRODUCT(E45:AR45, E7:AR7))</f>
        <v>0</v>
      </c>
    </row>
    <row r="46" spans="1:45">
      <c r="A46">
        <v>28</v>
      </c>
      <c r="B46" t="str">
        <f>'PO BASIS'!$B$52</f>
        <v>Financieringskosten</v>
      </c>
      <c r="D46" s="3">
        <f>'PO BASIS'!$K$52</f>
        <v>0</v>
      </c>
      <c r="E46" s="3">
        <f>0</f>
        <v>0</v>
      </c>
      <c r="F46" s="3">
        <f t="shared" si="2"/>
        <v>0</v>
      </c>
      <c r="G46" s="3">
        <f t="shared" si="3"/>
        <v>0</v>
      </c>
      <c r="H46" s="3">
        <f t="shared" si="4"/>
        <v>0</v>
      </c>
      <c r="I46" s="3">
        <f t="shared" si="5"/>
        <v>0</v>
      </c>
      <c r="J46" s="3">
        <f t="shared" si="6"/>
        <v>0</v>
      </c>
      <c r="K46" s="3">
        <f t="shared" si="7"/>
        <v>0</v>
      </c>
      <c r="L46" s="3">
        <f t="shared" si="8"/>
        <v>0</v>
      </c>
      <c r="M46" s="3">
        <f t="shared" si="9"/>
        <v>0</v>
      </c>
      <c r="N46" s="3">
        <f t="shared" si="10"/>
        <v>0</v>
      </c>
      <c r="O46" s="3">
        <f t="shared" si="11"/>
        <v>0</v>
      </c>
      <c r="P46" s="3">
        <f t="shared" si="12"/>
        <v>0</v>
      </c>
      <c r="Q46" s="3">
        <f t="shared" si="13"/>
        <v>0</v>
      </c>
      <c r="R46" s="3">
        <f t="shared" si="14"/>
        <v>0</v>
      </c>
      <c r="S46" s="3">
        <f t="shared" si="15"/>
        <v>0</v>
      </c>
      <c r="T46" s="3">
        <f t="shared" si="16"/>
        <v>0</v>
      </c>
      <c r="U46" s="3">
        <f t="shared" si="17"/>
        <v>0</v>
      </c>
      <c r="V46" s="3">
        <f t="shared" si="18"/>
        <v>0</v>
      </c>
      <c r="W46" s="3">
        <f t="shared" si="19"/>
        <v>0</v>
      </c>
      <c r="X46" s="3">
        <f t="shared" si="20"/>
        <v>0</v>
      </c>
      <c r="Y46" s="3">
        <f t="shared" si="21"/>
        <v>0</v>
      </c>
      <c r="Z46" s="3">
        <f t="shared" si="22"/>
        <v>0</v>
      </c>
      <c r="AA46" s="3">
        <f t="shared" si="23"/>
        <v>0</v>
      </c>
      <c r="AB46" s="3">
        <f t="shared" si="24"/>
        <v>0</v>
      </c>
      <c r="AC46" s="3">
        <f t="shared" si="25"/>
        <v>0</v>
      </c>
      <c r="AD46" s="3">
        <f t="shared" si="26"/>
        <v>0</v>
      </c>
      <c r="AE46" s="3">
        <f t="shared" si="27"/>
        <v>0</v>
      </c>
      <c r="AF46" s="3">
        <f t="shared" si="28"/>
        <v>0</v>
      </c>
      <c r="AG46" s="3">
        <f t="shared" si="29"/>
        <v>0</v>
      </c>
      <c r="AH46" s="3">
        <f t="shared" si="30"/>
        <v>0</v>
      </c>
      <c r="AI46" s="3">
        <f t="shared" si="31"/>
        <v>0</v>
      </c>
      <c r="AJ46" s="3">
        <f t="shared" si="32"/>
        <v>0</v>
      </c>
      <c r="AK46" s="3">
        <f t="shared" si="33"/>
        <v>0</v>
      </c>
      <c r="AL46" s="3">
        <f t="shared" si="34"/>
        <v>0</v>
      </c>
      <c r="AM46" s="3">
        <f t="shared" si="35"/>
        <v>0</v>
      </c>
      <c r="AN46" s="3">
        <f t="shared" si="36"/>
        <v>0</v>
      </c>
      <c r="AO46" s="3">
        <f t="shared" si="37"/>
        <v>0</v>
      </c>
      <c r="AP46" s="3">
        <f t="shared" si="38"/>
        <v>0</v>
      </c>
      <c r="AQ46" s="3">
        <f t="shared" si="39"/>
        <v>0</v>
      </c>
      <c r="AR46" s="3">
        <f t="shared" si="40"/>
        <v>0</v>
      </c>
      <c r="AS46" s="3">
        <f>IF($D46="", "", SUMPRODUCT(E46:AR46, E7:AR7))</f>
        <v>0</v>
      </c>
    </row>
    <row r="47" spans="1:45">
      <c r="A47">
        <v>29</v>
      </c>
      <c r="B47" t="str">
        <f>'PO BASIS'!$B$53</f>
        <v>Schoonmaakkosten</v>
      </c>
      <c r="D47" s="3">
        <f>'PO BASIS'!$K$53</f>
        <v>13.58</v>
      </c>
      <c r="E47" s="3">
        <f>0</f>
        <v>0</v>
      </c>
      <c r="F47" s="3">
        <f t="shared" si="2"/>
        <v>0</v>
      </c>
      <c r="G47" s="3">
        <f t="shared" si="3"/>
        <v>0</v>
      </c>
      <c r="H47" s="3">
        <f t="shared" si="4"/>
        <v>0</v>
      </c>
      <c r="I47" s="3">
        <f t="shared" si="5"/>
        <v>0</v>
      </c>
      <c r="J47" s="3">
        <f t="shared" si="6"/>
        <v>0</v>
      </c>
      <c r="K47" s="3">
        <f t="shared" si="7"/>
        <v>0</v>
      </c>
      <c r="L47" s="3">
        <f t="shared" si="8"/>
        <v>0</v>
      </c>
      <c r="M47" s="3">
        <f t="shared" si="9"/>
        <v>0</v>
      </c>
      <c r="N47" s="3">
        <f t="shared" si="10"/>
        <v>0</v>
      </c>
      <c r="O47" s="3">
        <f t="shared" si="11"/>
        <v>0</v>
      </c>
      <c r="P47" s="3">
        <f t="shared" si="12"/>
        <v>0</v>
      </c>
      <c r="Q47" s="3">
        <f t="shared" si="13"/>
        <v>0</v>
      </c>
      <c r="R47" s="3">
        <f t="shared" si="14"/>
        <v>0</v>
      </c>
      <c r="S47" s="3">
        <f t="shared" si="15"/>
        <v>0</v>
      </c>
      <c r="T47" s="3">
        <f t="shared" si="16"/>
        <v>0</v>
      </c>
      <c r="U47" s="3">
        <f t="shared" si="17"/>
        <v>0</v>
      </c>
      <c r="V47" s="3">
        <f t="shared" si="18"/>
        <v>0</v>
      </c>
      <c r="W47" s="3">
        <f t="shared" si="19"/>
        <v>0</v>
      </c>
      <c r="X47" s="3">
        <f t="shared" si="20"/>
        <v>0</v>
      </c>
      <c r="Y47" s="3">
        <f t="shared" si="21"/>
        <v>0</v>
      </c>
      <c r="Z47" s="3">
        <f t="shared" si="22"/>
        <v>0</v>
      </c>
      <c r="AA47" s="3">
        <f t="shared" si="23"/>
        <v>0</v>
      </c>
      <c r="AB47" s="3">
        <f t="shared" si="24"/>
        <v>0</v>
      </c>
      <c r="AC47" s="3">
        <f t="shared" si="25"/>
        <v>0</v>
      </c>
      <c r="AD47" s="3">
        <f t="shared" si="26"/>
        <v>0</v>
      </c>
      <c r="AE47" s="3">
        <f t="shared" si="27"/>
        <v>0</v>
      </c>
      <c r="AF47" s="3">
        <f t="shared" si="28"/>
        <v>0</v>
      </c>
      <c r="AG47" s="3">
        <f t="shared" si="29"/>
        <v>0</v>
      </c>
      <c r="AH47" s="3">
        <f t="shared" si="30"/>
        <v>0</v>
      </c>
      <c r="AI47" s="3">
        <f t="shared" si="31"/>
        <v>0</v>
      </c>
      <c r="AJ47" s="3">
        <f t="shared" si="32"/>
        <v>0</v>
      </c>
      <c r="AK47" s="3">
        <f t="shared" si="33"/>
        <v>0</v>
      </c>
      <c r="AL47" s="3">
        <f t="shared" si="34"/>
        <v>0</v>
      </c>
      <c r="AM47" s="3">
        <f t="shared" si="35"/>
        <v>0</v>
      </c>
      <c r="AN47" s="3">
        <f t="shared" si="36"/>
        <v>0</v>
      </c>
      <c r="AO47" s="3">
        <f t="shared" si="37"/>
        <v>0</v>
      </c>
      <c r="AP47" s="3">
        <f t="shared" si="38"/>
        <v>0</v>
      </c>
      <c r="AQ47" s="3">
        <f t="shared" si="39"/>
        <v>0</v>
      </c>
      <c r="AR47" s="3">
        <f t="shared" si="40"/>
        <v>0</v>
      </c>
      <c r="AS47" s="3">
        <f>IF($D47="", "", SUMPRODUCT(E47:AR47, E7:AR7))</f>
        <v>0</v>
      </c>
    </row>
    <row r="48" spans="1:45">
      <c r="D48" s="3"/>
      <c r="F48" s="3" t="str">
        <f>IF($D48="", "", IF(1&gt;=2, $D48*(1+$B$5)^0*$B$6, 0))</f>
        <v/>
      </c>
      <c r="G48" s="3" t="str">
        <f>IF($D48="", "", IF(2&gt;=2, $D48*(1+$B$5)^1*$B$6, 0))</f>
        <v/>
      </c>
      <c r="H48" s="3" t="str">
        <f>IF($D48="", "", IF(3&gt;=2, $D48*(1+$B$5)^2*$B$6, 0))</f>
        <v/>
      </c>
      <c r="I48" s="3" t="str">
        <f>IF($D48="", "", IF(4&gt;=2, $D48*(1+$B$5)^3*$B$6, 0))</f>
        <v/>
      </c>
      <c r="J48" s="3" t="str">
        <f>IF($D48="", "", IF(5&gt;=2, $D48*(1+$B$5)^4*$B$6, 0))</f>
        <v/>
      </c>
      <c r="K48" s="3" t="str">
        <f>IF($D48="", "", IF(6&gt;=2, $D48*(1+$B$5)^5*$B$6, 0))</f>
        <v/>
      </c>
      <c r="L48" s="3" t="str">
        <f>IF($D48="", "", IF(7&gt;=2, $D48*(1+$B$5)^6*$B$6, 0))</f>
        <v/>
      </c>
      <c r="M48" s="3" t="str">
        <f>IF($D48="", "", IF(8&gt;=2, $D48*(1+$B$5)^7*$B$6, 0))</f>
        <v/>
      </c>
      <c r="N48" s="3" t="str">
        <f>IF($D48="", "", IF(9&gt;=2, $D48*(1+$B$5)^8*$B$6, 0))</f>
        <v/>
      </c>
      <c r="O48" s="3" t="str">
        <f>IF($D48="", "", IF(10&gt;=2, $D48*(1+$B$5)^9*$B$6, 0))</f>
        <v/>
      </c>
      <c r="P48" s="3" t="str">
        <f>IF($D48="", "", IF(11&gt;=2, $D48*(1+$B$5)^10*$B$6, 0))</f>
        <v/>
      </c>
      <c r="Q48" s="3" t="str">
        <f>IF($D48="", "", IF(12&gt;=2, $D48*(1+$B$5)^11*$B$6, 0))</f>
        <v/>
      </c>
      <c r="R48" s="3" t="str">
        <f>IF($D48="", "", IF(13&gt;=2, $D48*(1+$B$5)^12*$B$6, 0))</f>
        <v/>
      </c>
      <c r="S48" s="3" t="str">
        <f>IF($D48="", "", IF(14&gt;=2, $D48*(1+$B$5)^13*$B$6, 0))</f>
        <v/>
      </c>
      <c r="T48" s="3" t="str">
        <f>IF($D48="", "", IF(15&gt;=2, $D48*(1+$B$5)^14*$B$6, 0))</f>
        <v/>
      </c>
      <c r="U48" s="3" t="str">
        <f>IF($D48="", "", IF(16&gt;=2, $D48*(1+$B$5)^15*$B$6, 0))</f>
        <v/>
      </c>
      <c r="V48" s="3" t="str">
        <f>IF($D48="", "", IF(17&gt;=2, $D48*(1+$B$5)^16*$B$6, 0))</f>
        <v/>
      </c>
      <c r="W48" s="3" t="str">
        <f>IF($D48="", "", IF(18&gt;=2, $D48*(1+$B$5)^17*$B$6, 0))</f>
        <v/>
      </c>
      <c r="X48" s="3" t="str">
        <f>IF($D48="", "", IF(19&gt;=2, $D48*(1+$B$5)^18*$B$6, 0))</f>
        <v/>
      </c>
      <c r="Y48" s="3" t="str">
        <f>IF($D48="", "", IF(20&gt;=2, $D48*(1+$B$5)^19*$B$6, 0))</f>
        <v/>
      </c>
      <c r="Z48" s="3" t="str">
        <f>IF($D48="", "", IF(21&gt;=2, $D48*(1+$B$5)^20*$B$6, 0))</f>
        <v/>
      </c>
      <c r="AA48" s="3" t="str">
        <f>IF($D48="", "", IF(22&gt;=2, $D48*(1+$B$5)^21*$B$6, 0))</f>
        <v/>
      </c>
      <c r="AB48" s="3" t="str">
        <f>IF($D48="", "", IF(23&gt;=2, $D48*(1+$B$5)^22*$B$6, 0))</f>
        <v/>
      </c>
      <c r="AC48" s="3" t="str">
        <f>IF($D48="", "", IF(24&gt;=2, $D48*(1+$B$5)^23*$B$6, 0))</f>
        <v/>
      </c>
      <c r="AD48" s="3" t="str">
        <f>IF($D48="", "", IF(25&gt;=2, $D48*(1+$B$5)^24*$B$6, 0))</f>
        <v/>
      </c>
      <c r="AE48" s="3" t="str">
        <f>IF($D48="", "", IF(26&gt;=2, $D48*(1+$B$5)^25*$B$6, 0))</f>
        <v/>
      </c>
      <c r="AF48" s="3" t="str">
        <f>IF($D48="", "", IF(27&gt;=2, $D48*(1+$B$5)^26*$B$6, 0))</f>
        <v/>
      </c>
      <c r="AG48" s="3" t="str">
        <f>IF($D48="", "", IF(28&gt;=2, $D48*(1+$B$5)^27*$B$6, 0))</f>
        <v/>
      </c>
      <c r="AH48" s="3" t="str">
        <f>IF($D48="", "", IF(29&gt;=2, $D48*(1+$B$5)^28*$B$6, 0))</f>
        <v/>
      </c>
      <c r="AI48" s="3" t="str">
        <f>IF($D48="", "", IF(30&gt;=2, $D48*(1+$B$5)^29*$B$6, 0))</f>
        <v/>
      </c>
      <c r="AJ48" s="3" t="str">
        <f>IF($D48="", "", IF(31&gt;=2, $D48*(1+$B$5)^30*$B$6, 0))</f>
        <v/>
      </c>
      <c r="AK48" s="3" t="str">
        <f>IF($D48="", "", IF(32&gt;=2, $D48*(1+$B$5)^31*$B$6, 0))</f>
        <v/>
      </c>
      <c r="AL48" s="3" t="str">
        <f>IF($D48="", "", IF(33&gt;=2, $D48*(1+$B$5)^32*$B$6, 0))</f>
        <v/>
      </c>
      <c r="AM48" s="3" t="str">
        <f>IF($D48="", "", IF(34&gt;=2, $D48*(1+$B$5)^33*$B$6, 0))</f>
        <v/>
      </c>
      <c r="AN48" s="3" t="str">
        <f>IF($D48="", "", IF(35&gt;=2, $D48*(1+$B$5)^34*$B$6, 0))</f>
        <v/>
      </c>
      <c r="AO48" s="3" t="str">
        <f>IF($D48="", "", IF(36&gt;=2, $D48*(1+$B$5)^35*$B$6, 0))</f>
        <v/>
      </c>
      <c r="AP48" s="3" t="str">
        <f>IF($D48="", "", IF(37&gt;=2, $D48*(1+$B$5)^36*$B$6, 0))</f>
        <v/>
      </c>
      <c r="AQ48" s="3" t="str">
        <f>IF($D48="", "", IF(38&gt;=2, $D48*(1+$B$5)^37*$B$6, 0))</f>
        <v/>
      </c>
      <c r="AR48" s="3" t="str">
        <f>IF($D48="", "", IF(39&gt;=2, $D48*(1+$B$5)^38*$B$6, 0))</f>
        <v/>
      </c>
      <c r="AS48" s="3" t="str">
        <f>IF($D48="", "", SUMPRODUCT(E48:AR48, E7:AR7))</f>
        <v/>
      </c>
    </row>
    <row r="49" spans="1:45">
      <c r="D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f>SUM(AS9:AS47)</f>
        <v>0</v>
      </c>
    </row>
    <row r="50" spans="1:45" s="1" customFormat="1">
      <c r="A50" s="11" t="s">
        <v>642</v>
      </c>
      <c r="D50" s="5"/>
      <c r="E50" s="5">
        <f>SUM(E9:E49)</f>
        <v>0</v>
      </c>
      <c r="F50" s="5">
        <f t="shared" ref="F50:AR50" si="41">SUM(F9:F49)</f>
        <v>0</v>
      </c>
      <c r="G50" s="5">
        <f t="shared" si="41"/>
        <v>0</v>
      </c>
      <c r="H50" s="5">
        <f t="shared" si="41"/>
        <v>0</v>
      </c>
      <c r="I50" s="5">
        <f t="shared" si="41"/>
        <v>0</v>
      </c>
      <c r="J50" s="5">
        <f t="shared" si="41"/>
        <v>0</v>
      </c>
      <c r="K50" s="5">
        <f t="shared" si="41"/>
        <v>0</v>
      </c>
      <c r="L50" s="5">
        <f t="shared" si="41"/>
        <v>0</v>
      </c>
      <c r="M50" s="5">
        <f t="shared" si="41"/>
        <v>0</v>
      </c>
      <c r="N50" s="5">
        <f t="shared" si="41"/>
        <v>0</v>
      </c>
      <c r="O50" s="5">
        <f t="shared" si="41"/>
        <v>0</v>
      </c>
      <c r="P50" s="5">
        <f t="shared" si="41"/>
        <v>0</v>
      </c>
      <c r="Q50" s="5">
        <f t="shared" si="41"/>
        <v>0</v>
      </c>
      <c r="R50" s="5">
        <f t="shared" si="41"/>
        <v>0</v>
      </c>
      <c r="S50" s="5">
        <f t="shared" si="41"/>
        <v>0</v>
      </c>
      <c r="T50" s="5">
        <f t="shared" si="41"/>
        <v>0</v>
      </c>
      <c r="U50" s="5">
        <f t="shared" si="41"/>
        <v>0</v>
      </c>
      <c r="V50" s="5">
        <f t="shared" si="41"/>
        <v>0</v>
      </c>
      <c r="W50" s="5">
        <f t="shared" si="41"/>
        <v>0</v>
      </c>
      <c r="X50" s="5">
        <f t="shared" si="41"/>
        <v>0</v>
      </c>
      <c r="Y50" s="5">
        <f t="shared" si="41"/>
        <v>0</v>
      </c>
      <c r="Z50" s="5">
        <f t="shared" si="41"/>
        <v>0</v>
      </c>
      <c r="AA50" s="5">
        <f t="shared" si="41"/>
        <v>0</v>
      </c>
      <c r="AB50" s="5">
        <f t="shared" si="41"/>
        <v>0</v>
      </c>
      <c r="AC50" s="5">
        <f t="shared" si="41"/>
        <v>0</v>
      </c>
      <c r="AD50" s="5">
        <f t="shared" si="41"/>
        <v>0</v>
      </c>
      <c r="AE50" s="5">
        <f t="shared" si="41"/>
        <v>0</v>
      </c>
      <c r="AF50" s="5">
        <f t="shared" si="41"/>
        <v>0</v>
      </c>
      <c r="AG50" s="5">
        <f t="shared" si="41"/>
        <v>0</v>
      </c>
      <c r="AH50" s="5">
        <f t="shared" si="41"/>
        <v>0</v>
      </c>
      <c r="AI50" s="5">
        <f t="shared" si="41"/>
        <v>0</v>
      </c>
      <c r="AJ50" s="5">
        <f t="shared" si="41"/>
        <v>0</v>
      </c>
      <c r="AK50" s="5">
        <f t="shared" si="41"/>
        <v>0</v>
      </c>
      <c r="AL50" s="5">
        <f t="shared" si="41"/>
        <v>0</v>
      </c>
      <c r="AM50" s="5">
        <f t="shared" si="41"/>
        <v>0</v>
      </c>
      <c r="AN50" s="5">
        <f t="shared" si="41"/>
        <v>0</v>
      </c>
      <c r="AO50" s="5">
        <f t="shared" si="41"/>
        <v>0</v>
      </c>
      <c r="AP50" s="5">
        <f t="shared" si="41"/>
        <v>0</v>
      </c>
      <c r="AQ50" s="5">
        <f t="shared" si="41"/>
        <v>0</v>
      </c>
      <c r="AR50" s="5">
        <f t="shared" si="41"/>
        <v>0</v>
      </c>
      <c r="AS50" s="5">
        <f>SUM(F50:AR50)</f>
        <v>0</v>
      </c>
    </row>
  </sheetData>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0fc45f1-e775-430c-9f20-71df9f4be7f6" xsi:nil="true"/>
    <lcf76f155ced4ddcb4097134ff3c332f xmlns="44cf0be2-c87d-497a-acc5-55489c5e9dd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1A1CE6CBDD0A48BCC7A348C185C407" ma:contentTypeVersion="12" ma:contentTypeDescription="Een nieuw document maken." ma:contentTypeScope="" ma:versionID="3f73ec7db868f2b30e577902a2461a7e">
  <xsd:schema xmlns:xsd="http://www.w3.org/2001/XMLSchema" xmlns:xs="http://www.w3.org/2001/XMLSchema" xmlns:p="http://schemas.microsoft.com/office/2006/metadata/properties" xmlns:ns2="44cf0be2-c87d-497a-acc5-55489c5e9dd0" xmlns:ns3="b0fc45f1-e775-430c-9f20-71df9f4be7f6" targetNamespace="http://schemas.microsoft.com/office/2006/metadata/properties" ma:root="true" ma:fieldsID="b2a0618eaf64e1a75ff76719377ca88c" ns2:_="" ns3:_="">
    <xsd:import namespace="44cf0be2-c87d-497a-acc5-55489c5e9dd0"/>
    <xsd:import namespace="b0fc45f1-e775-430c-9f20-71df9f4be7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cf0be2-c87d-497a-acc5-55489c5e9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0b4aa8ae-0c85-49e7-9006-a854447ab1a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fc45f1-e775-430c-9f20-71df9f4be7f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ac1b0e4-c18f-4e41-9094-722e414259a9}" ma:internalName="TaxCatchAll" ma:showField="CatchAllData" ma:web="b0fc45f1-e775-430c-9f20-71df9f4be7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7B3B59-3DB2-41B3-B287-D0DA374719DC}"/>
</file>

<file path=customXml/itemProps2.xml><?xml version="1.0" encoding="utf-8"?>
<ds:datastoreItem xmlns:ds="http://schemas.openxmlformats.org/officeDocument/2006/customXml" ds:itemID="{F1FD7F97-3E1F-49D5-950E-D8FE26F34305}"/>
</file>

<file path=customXml/itemProps3.xml><?xml version="1.0" encoding="utf-8"?>
<ds:datastoreItem xmlns:ds="http://schemas.openxmlformats.org/officeDocument/2006/customXml" ds:itemID="{0D8FD046-938C-4508-8887-058ABF68C9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 't Veld, Maarten</dc:creator>
  <cp:keywords/>
  <dc:description/>
  <cp:lastModifiedBy/>
  <cp:revision/>
  <dcterms:created xsi:type="dcterms:W3CDTF">2026-02-20T08:41:19Z</dcterms:created>
  <dcterms:modified xsi:type="dcterms:W3CDTF">2026-03-02T19:06:47Z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0x010100CF1A1CE6CBDD0A48BCC7A348C185C407</vt:lpwstr>
  </property>
  <property fmtid="{D5CDD505-2E9C-101B-9397-08002B2CF9AE}" pid="3" name="_dlc_DocIdItemGuid">
    <vt:lpwstr>fe09ca35-89a9-42fc-b916-ba9fd075003a</vt:lpwstr>
  </property>
  <property fmtid="{D5CDD505-2E9C-101B-9397-08002B2CF9AE}" pid="4" name="PH_DocumentType">
    <vt:lpwstr/>
  </property>
  <property fmtid="{D5CDD505-2E9C-101B-9397-08002B2CF9AE}" pid="5" name="MediaServiceImageTags">
    <vt:lpwstr/>
  </property>
</Properties>
</file>