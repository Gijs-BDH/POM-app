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https://secureworkspace-my.sharepoint.com/personal/alisa_heesakkers_draaijerpartners_nl/Documents/Desktop/"/>
    </mc:Choice>
  </mc:AlternateContent>
  <xr:revisionPtr revIDLastSave="0" documentId="8_{1FCE1436-3E2C-4ECE-94C5-B5C2B47AA6FA}" xr6:coauthVersionLast="47" xr6:coauthVersionMax="47" xr10:uidLastSave="{00000000-0000-0000-0000-000000000000}"/>
  <bookViews>
    <workbookView xWindow="-105" yWindow="0" windowWidth="14610" windowHeight="15585" firstSheet="1" activeTab="1" xr2:uid="{00000000-000D-0000-FFFF-FFFF00000000}"/>
  </bookViews>
  <sheets>
    <sheet name="Ruimtelijk programma" sheetId="5" r:id="rId1"/>
    <sheet name="Vragenlijst" sheetId="6" r:id="rId2"/>
    <sheet name="Rekenmodel (achterkant)" sheetId="7" r:id="rId3"/>
    <sheet name="Dropdowns" sheetId="8" state="hidden" r:id="rId4"/>
  </sheets>
  <definedNames>
    <definedName name="_xlnm._FilterDatabase" localSheetId="0" hidden="1">'Ruimtelijk programma'!$D$41:$D$42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7" l="1"/>
  <c r="C50" i="7"/>
  <c r="C51" i="7"/>
  <c r="C49" i="7"/>
  <c r="C48" i="7"/>
  <c r="C47" i="7"/>
  <c r="C72" i="7"/>
  <c r="C73" i="7" s="1"/>
  <c r="C120" i="7"/>
  <c r="C121" i="7" s="1"/>
  <c r="C123" i="7" s="1"/>
  <c r="H11" i="7"/>
  <c r="G11" i="6" s="1"/>
  <c r="C51" i="5"/>
  <c r="I29" i="7"/>
  <c r="G26" i="6"/>
  <c r="C122" i="7"/>
  <c r="G23" i="6"/>
  <c r="G24" i="6"/>
  <c r="G25" i="6"/>
  <c r="I5" i="7"/>
  <c r="G28" i="6"/>
  <c r="G22" i="6"/>
  <c r="C100" i="7"/>
  <c r="J22" i="7" s="1"/>
  <c r="G21" i="6"/>
  <c r="C96" i="7"/>
  <c r="J21" i="7" s="1"/>
  <c r="G20" i="6"/>
  <c r="C92" i="7"/>
  <c r="C93" i="7" s="1"/>
  <c r="G19" i="6"/>
  <c r="C88" i="7"/>
  <c r="G18" i="6"/>
  <c r="C84" i="7"/>
  <c r="G17" i="6"/>
  <c r="C80" i="7"/>
  <c r="C81" i="7" s="1"/>
  <c r="G16" i="6"/>
  <c r="C74" i="7"/>
  <c r="C75" i="7" s="1"/>
  <c r="G15" i="6"/>
  <c r="C67" i="7"/>
  <c r="J15" i="7" s="1"/>
  <c r="G14" i="6"/>
  <c r="C63" i="7"/>
  <c r="C64" i="7" s="1"/>
  <c r="C62" i="7"/>
  <c r="G13" i="6"/>
  <c r="C58" i="7"/>
  <c r="G12" i="6"/>
  <c r="C46" i="7"/>
  <c r="C23" i="7"/>
  <c r="C27" i="7" s="1"/>
  <c r="C25" i="7"/>
  <c r="C26" i="7"/>
  <c r="C24" i="7"/>
  <c r="C36" i="7"/>
  <c r="C32" i="7"/>
  <c r="C33" i="7" s="1"/>
  <c r="C19" i="7"/>
  <c r="E17" i="6"/>
  <c r="E16" i="6"/>
  <c r="E15" i="6"/>
  <c r="C13" i="7"/>
  <c r="G6" i="6"/>
  <c r="G5" i="6"/>
  <c r="H6" i="6"/>
  <c r="H5" i="6"/>
  <c r="I6" i="7"/>
  <c r="C6" i="7"/>
  <c r="C76" i="7" l="1"/>
  <c r="C8" i="5"/>
  <c r="C110" i="7"/>
  <c r="C111" i="7" s="1"/>
  <c r="C113" i="7" s="1"/>
  <c r="J24" i="7" s="1"/>
  <c r="I24" i="6" s="1"/>
  <c r="D26" i="5" s="1"/>
  <c r="C7" i="7"/>
  <c r="C8" i="7" s="1"/>
  <c r="C114" i="7" s="1"/>
  <c r="J14" i="7"/>
  <c r="I14" i="6" s="1"/>
  <c r="D9" i="5" s="1"/>
  <c r="J10" i="7"/>
  <c r="I10" i="6" s="1"/>
  <c r="D13" i="5" s="1"/>
  <c r="C119" i="7"/>
  <c r="C71" i="7"/>
  <c r="J19" i="7"/>
  <c r="I19" i="6" s="1"/>
  <c r="D21" i="5" s="1"/>
  <c r="J18" i="7"/>
  <c r="I18" i="6" s="1"/>
  <c r="D20" i="5" s="1"/>
  <c r="I15" i="6"/>
  <c r="D18" i="5" s="1"/>
  <c r="J13" i="7"/>
  <c r="I13" i="6" s="1"/>
  <c r="D52" i="5" s="1"/>
  <c r="E53" i="5" s="1"/>
  <c r="E50" i="5" s="1"/>
  <c r="I22" i="6"/>
  <c r="D17" i="5" s="1"/>
  <c r="I21" i="6"/>
  <c r="D22" i="5" s="1"/>
  <c r="C79" i="7"/>
  <c r="D29" i="6"/>
  <c r="C45" i="7"/>
  <c r="C28" i="7"/>
  <c r="C12" i="7"/>
  <c r="D9" i="6" s="1"/>
  <c r="J26" i="7" l="1"/>
  <c r="I26" i="6" s="1"/>
  <c r="D16" i="5" s="1"/>
  <c r="D39" i="6"/>
  <c r="C38" i="7"/>
  <c r="C39" i="7" s="1"/>
  <c r="E4" i="6"/>
  <c r="J20" i="7"/>
  <c r="I20" i="6" s="1"/>
  <c r="J17" i="7"/>
  <c r="I17" i="6" s="1"/>
  <c r="D19" i="5" s="1"/>
  <c r="I4" i="7"/>
  <c r="J5" i="7" s="1"/>
  <c r="I5" i="6" s="1"/>
  <c r="D4" i="5" s="1"/>
  <c r="C116" i="7"/>
  <c r="C14" i="7"/>
  <c r="E23" i="5" l="1"/>
  <c r="C42" i="7"/>
  <c r="J11" i="7" s="1"/>
  <c r="I11" i="6" s="1"/>
  <c r="D8" i="5" s="1"/>
  <c r="E10" i="5" s="1"/>
  <c r="J6" i="7"/>
  <c r="I6" i="6" s="1"/>
  <c r="D5" i="5" s="1"/>
  <c r="E6" i="5" s="1"/>
  <c r="H4" i="6"/>
  <c r="E58" i="5" s="1"/>
  <c r="J25" i="7"/>
  <c r="I25" i="6" s="1"/>
  <c r="D27" i="5" s="1"/>
  <c r="J16" i="7"/>
  <c r="I16" i="6" s="1"/>
  <c r="D12" i="5" s="1"/>
  <c r="E14" i="5" s="1"/>
  <c r="J12" i="7"/>
  <c r="D14" i="6"/>
  <c r="C105" i="7"/>
  <c r="C106" i="7" s="1"/>
  <c r="C108" i="7" s="1"/>
  <c r="D11" i="6"/>
  <c r="C20" i="7"/>
  <c r="I12" i="6" l="1"/>
  <c r="H8" i="6"/>
  <c r="I8" i="7"/>
  <c r="J9" i="7"/>
  <c r="J23" i="7"/>
  <c r="I23" i="6" s="1"/>
  <c r="D25" i="5" s="1"/>
  <c r="E28" i="5" s="1"/>
  <c r="E2" i="5" s="1"/>
  <c r="I9" i="6"/>
  <c r="I28" i="7" l="1"/>
  <c r="H28" i="6" s="1"/>
  <c r="I29" i="6" s="1"/>
  <c r="J29" i="6" s="1"/>
  <c r="J30" i="7" l="1"/>
  <c r="K30" i="7" s="1"/>
  <c r="C45" i="5" l="1"/>
  <c r="D48" i="5" s="1"/>
  <c r="C40" i="5"/>
  <c r="D43" i="5" s="1"/>
  <c r="C35" i="5"/>
  <c r="D38" i="5" s="1"/>
  <c r="D37" i="5" l="1"/>
  <c r="C30" i="5"/>
  <c r="D33" i="5" s="1"/>
  <c r="D36" i="5"/>
  <c r="D42" i="5"/>
  <c r="D41" i="5"/>
  <c r="D47" i="5"/>
  <c r="D46" i="5"/>
  <c r="E49" i="5" l="1"/>
  <c r="E44" i="5"/>
  <c r="E39" i="5"/>
  <c r="D32" i="5"/>
  <c r="E14" i="6"/>
  <c r="D31" i="5" s="1"/>
  <c r="E34" i="5" s="1"/>
  <c r="E29" i="5" l="1"/>
  <c r="E56" i="5" s="1"/>
  <c r="D60" i="5" s="1"/>
</calcChain>
</file>

<file path=xl/sharedStrings.xml><?xml version="1.0" encoding="utf-8"?>
<sst xmlns="http://schemas.openxmlformats.org/spreadsheetml/2006/main" count="341" uniqueCount="202">
  <si>
    <t>Algemene ruimten</t>
  </si>
  <si>
    <t>Algemene ruimten (Automatisch berekend)</t>
  </si>
  <si>
    <t>BVO</t>
  </si>
  <si>
    <t>Verkeersruimten en technische installatieruimten</t>
  </si>
  <si>
    <t>Constructieopppervlakten</t>
  </si>
  <si>
    <t>Totaal</t>
  </si>
  <si>
    <t>Centrale ruimten</t>
  </si>
  <si>
    <t>Bibliotheek</t>
  </si>
  <si>
    <t>Werkplekken, vergaderen en pauzeren (medewerkers)</t>
  </si>
  <si>
    <t>Kantoorruimten</t>
  </si>
  <si>
    <t>Teamruimte</t>
  </si>
  <si>
    <t>Faciliteiten</t>
  </si>
  <si>
    <t>Spreekruimten</t>
  </si>
  <si>
    <t>EHBO-/kolf-/rustruimte</t>
  </si>
  <si>
    <t>Creatieve- en techniekruimte</t>
  </si>
  <si>
    <t>Prikkelarme ruimten</t>
  </si>
  <si>
    <t>Zorg- en behandelruimte</t>
  </si>
  <si>
    <t>Was- en droogruimte</t>
  </si>
  <si>
    <t>Print- en kopieerruimte</t>
  </si>
  <si>
    <t>Toiletten</t>
  </si>
  <si>
    <t>Toiletten leerlingen</t>
  </si>
  <si>
    <t>Toiletten Personeel</t>
  </si>
  <si>
    <t>Toiletten openbaar</t>
  </si>
  <si>
    <t>Onderwijszones</t>
  </si>
  <si>
    <t>Geen cluster</t>
  </si>
  <si>
    <t>Theorielokaal</t>
  </si>
  <si>
    <t>Leerplein</t>
  </si>
  <si>
    <t>Bergruimten</t>
  </si>
  <si>
    <t>Onderbouw</t>
  </si>
  <si>
    <t>Bergruimte</t>
  </si>
  <si>
    <t>Middenbouw</t>
  </si>
  <si>
    <t>Bovenbouw</t>
  </si>
  <si>
    <t>Bewegingsonderwijs</t>
  </si>
  <si>
    <t>Speellokaal</t>
  </si>
  <si>
    <t>Speellokaal incl. berging</t>
  </si>
  <si>
    <t>Totaaloverzicht</t>
  </si>
  <si>
    <t>Totaaloppervlak verdeling</t>
  </si>
  <si>
    <t xml:space="preserve">Totaal oppervlak alle ruimten </t>
  </si>
  <si>
    <t>Totaal ruimtebudget</t>
  </si>
  <si>
    <t>Ruimtebudget</t>
  </si>
  <si>
    <t>Ruimteverdeling versus budget</t>
  </si>
  <si>
    <t>Te verdelen ruimte</t>
  </si>
  <si>
    <t xml:space="preserve">Ruimteverdeling </t>
  </si>
  <si>
    <t>Basisinformatie</t>
  </si>
  <si>
    <t>Hoeveel leerlingen heeft uw school?</t>
  </si>
  <si>
    <t>Ruimtebudet</t>
  </si>
  <si>
    <t>Wilt u het ruimtebudget overschrijven?</t>
  </si>
  <si>
    <t>Nee</t>
  </si>
  <si>
    <t>Welke onderwijsclusters zijn er?</t>
  </si>
  <si>
    <t>2 clusters OB+BB</t>
  </si>
  <si>
    <t>Hoeveel FTE heeft uw school?</t>
  </si>
  <si>
    <t>-</t>
  </si>
  <si>
    <t>Over voor ruimtekeuzes/verdeling</t>
  </si>
  <si>
    <t>Lokalen</t>
  </si>
  <si>
    <t>Aantal lokalen o.b.v. leerlingaantal</t>
  </si>
  <si>
    <t xml:space="preserve">Hoe veel extra lokalen wilt u? </t>
  </si>
  <si>
    <t>Teamkamer</t>
  </si>
  <si>
    <t>Totaal aantal lokalen</t>
  </si>
  <si>
    <t>Lokalen verdeling</t>
  </si>
  <si>
    <t>Berekening</t>
  </si>
  <si>
    <t>Verdeeld</t>
  </si>
  <si>
    <t>Aantal lokalen OB</t>
  </si>
  <si>
    <t>Aantal lokalen MB</t>
  </si>
  <si>
    <t>Aantal lokalen BB</t>
  </si>
  <si>
    <t>Centrale ontmoetingsruimte</t>
  </si>
  <si>
    <t>Hoeveel klassen moeten tegelijk gebruik kunnen maken van de centrale ontmoetingsruimte?</t>
  </si>
  <si>
    <t>Hele cluster</t>
  </si>
  <si>
    <t>Leerpleinen</t>
  </si>
  <si>
    <t>Hoeveel procent van het cluster moet tegelijk gebruik kunnnen maken van de leerpleinen?</t>
  </si>
  <si>
    <t>Heeft u recht op een speellokaal? (incl. berging, totaal 90m²)</t>
  </si>
  <si>
    <t>Ja</t>
  </si>
  <si>
    <t>Overige ruimten</t>
  </si>
  <si>
    <t>Bilbliotheek</t>
  </si>
  <si>
    <t>Wilt u een bibliotheek</t>
  </si>
  <si>
    <t>Zo ja, hoeveel gebruikers moeten er tegelijk gebruik van de bibliotheek kunnen maken?</t>
  </si>
  <si>
    <t>Kwart klas</t>
  </si>
  <si>
    <t>+</t>
  </si>
  <si>
    <t>Creatief en techniek</t>
  </si>
  <si>
    <t>Wilt u een creatieve- en techniekruimte? (64m²)</t>
  </si>
  <si>
    <t>Aantal kantoorruimten o.b.v. leerlingaantal</t>
  </si>
  <si>
    <t>Oppervlakte te verdelen</t>
  </si>
  <si>
    <t>Wilt u het aantal kantoorruimten overschrijven?</t>
  </si>
  <si>
    <t>Welk formaat kantoorruimten wilt u?</t>
  </si>
  <si>
    <t>Basis (8m²)</t>
  </si>
  <si>
    <t>Hoeveel prikkelarme ruimten wilt u?</t>
  </si>
  <si>
    <t>Hoeveel kinderen moeten tegelijk gebruik kunnen maken van de prikkelarme ruimten?</t>
  </si>
  <si>
    <t>8 m² (1-2 kinderen)</t>
  </si>
  <si>
    <t>Wilt u een zorg en behandelruimte? (12m²)</t>
  </si>
  <si>
    <t>Wilt u een was- en droogruimte? (6m²)</t>
  </si>
  <si>
    <t>Welk formaat bergruimten wilt u? (1 per cluster)</t>
  </si>
  <si>
    <t>Basis (3m²)</t>
  </si>
  <si>
    <t>Wilt u een Print- en kopieerruimte? (6m²)</t>
  </si>
  <si>
    <t>Wilt u een EHBO-/kolf-/rustruimte? (8m²)</t>
  </si>
  <si>
    <t>Aantal spreekruimten o.b.v. leerlingaantal</t>
  </si>
  <si>
    <t>Wilt u het aantal spreekruimten overschrijven?</t>
  </si>
  <si>
    <t>Welk formaat spreekruimten wilt u?</t>
  </si>
  <si>
    <t>Basis (12m²)</t>
  </si>
  <si>
    <t>Rekenwaarde</t>
  </si>
  <si>
    <t>Standaardwaarde</t>
  </si>
  <si>
    <t>Ruimteverdeling</t>
  </si>
  <si>
    <t>M² BVO per leerling</t>
  </si>
  <si>
    <t>M² BVO vaste voet</t>
  </si>
  <si>
    <t>m² voor Verkeersruimten en technische installatieruimten</t>
  </si>
  <si>
    <t>Aantal leerlingen</t>
  </si>
  <si>
    <t>m² voor Constructieoppervlakten</t>
  </si>
  <si>
    <t>Ruimtebudget o.b.v. leerlingaantal</t>
  </si>
  <si>
    <t>Overschreven ruimtebudget</t>
  </si>
  <si>
    <t>Aantal lokalen</t>
  </si>
  <si>
    <t>Aantal leerlingen per lokaal</t>
  </si>
  <si>
    <t>Aantal lokalen naar boven afgerond</t>
  </si>
  <si>
    <t>Aantal gekozen extra lokalen</t>
  </si>
  <si>
    <t xml:space="preserve">Speellokaal </t>
  </si>
  <si>
    <t>Cretieve en techniekruimte</t>
  </si>
  <si>
    <t>Lokaalgrootte</t>
  </si>
  <si>
    <t>M² BVO voor docent</t>
  </si>
  <si>
    <t>Totale oppervlakte lokalen</t>
  </si>
  <si>
    <t>Gekozen clustergroottes</t>
  </si>
  <si>
    <t>Gekozen clusterverdeling</t>
  </si>
  <si>
    <t>OB</t>
  </si>
  <si>
    <t>Toiletten personeel</t>
  </si>
  <si>
    <t>MB</t>
  </si>
  <si>
    <t>BB</t>
  </si>
  <si>
    <t>Grootste cluster</t>
  </si>
  <si>
    <t>Totale oppervlakte gemaakte keuzes</t>
  </si>
  <si>
    <t>Aantal BVO per FTE</t>
  </si>
  <si>
    <t>Aantal FTE</t>
  </si>
  <si>
    <t>Totale oppervlakte teamkamer</t>
  </si>
  <si>
    <t>Gekozen grootte</t>
  </si>
  <si>
    <t>M² BVO per gebruiker</t>
  </si>
  <si>
    <t>Aantal gebruikers</t>
  </si>
  <si>
    <t>Oppervlakte centrale ontmoetingsruimte</t>
  </si>
  <si>
    <t>Podium gekozen?</t>
  </si>
  <si>
    <t>Altijd inbegrepen</t>
  </si>
  <si>
    <t>Grootte podium</t>
  </si>
  <si>
    <t>Totale grootte Centrale ontmoetingsruimte</t>
  </si>
  <si>
    <t>leerpleinen</t>
  </si>
  <si>
    <t>Aantal clusters</t>
  </si>
  <si>
    <t>Gekozen leerpleingrootte</t>
  </si>
  <si>
    <t>OB gebruikers</t>
  </si>
  <si>
    <t>MB gebruikers</t>
  </si>
  <si>
    <t>BB Gebruikers</t>
  </si>
  <si>
    <t>Grootte OB</t>
  </si>
  <si>
    <t>Grootte MB</t>
  </si>
  <si>
    <t>Grootte BB</t>
  </si>
  <si>
    <t>Totale grootte Leerpleinen</t>
  </si>
  <si>
    <t>Speellokaal gekozen?</t>
  </si>
  <si>
    <t>Bibliotheek gekozen?</t>
  </si>
  <si>
    <t>Oppervlakte bibliotheek</t>
  </si>
  <si>
    <t>Ceratieve- en techniekruimte</t>
  </si>
  <si>
    <t>Ruimte gekozen?</t>
  </si>
  <si>
    <t>Oppervlakte creatieve= en techniekruimte</t>
  </si>
  <si>
    <t>Aantal kantoorruimten o.b.v. leerlingaantallen</t>
  </si>
  <si>
    <t>Aantal kantoorruimten overschrijven?</t>
  </si>
  <si>
    <t>Overschreven aantal kantoorruimten</t>
  </si>
  <si>
    <t xml:space="preserve">Oppervlakte per ruimte </t>
  </si>
  <si>
    <t>Totale oppervlakte kantoorruimten</t>
  </si>
  <si>
    <t>Aantal prikkelarme ruimten minimaal 1 bij &gt;200 leerlingen</t>
  </si>
  <si>
    <t>Gekozen afmeting in m²</t>
  </si>
  <si>
    <t>Zorg en behandelruimte</t>
  </si>
  <si>
    <t>Gekozen?</t>
  </si>
  <si>
    <t>Afmeting</t>
  </si>
  <si>
    <t>Gekozen formaat</t>
  </si>
  <si>
    <t xml:space="preserve">Gekozen oppervlakte </t>
  </si>
  <si>
    <t>Gekozen</t>
  </si>
  <si>
    <t>Grootte</t>
  </si>
  <si>
    <t>Toiletten per 3 groepen</t>
  </si>
  <si>
    <t>Aantal groepen</t>
  </si>
  <si>
    <t>Aantal toiletten leerlingen</t>
  </si>
  <si>
    <t xml:space="preserve">M² toiletten leerlingen </t>
  </si>
  <si>
    <t>Totaal m² toiletten leerlingen</t>
  </si>
  <si>
    <t>Aantal toiletten per 15 FTE</t>
  </si>
  <si>
    <t>Aantal fte</t>
  </si>
  <si>
    <t>Aantal toiletten</t>
  </si>
  <si>
    <t>M² toiletten Personeel</t>
  </si>
  <si>
    <t>Totaal m² toiletten Personeel</t>
  </si>
  <si>
    <t>Toiletten openbaar bereikbaar 1 per 1000m² Afronden</t>
  </si>
  <si>
    <t>M² toiletten openbaar bereikbaar</t>
  </si>
  <si>
    <t>Totaal m² toiletten openbaar bereikbaar</t>
  </si>
  <si>
    <t>Aantal spreekruimten berekend</t>
  </si>
  <si>
    <t>Spreekruimten overschrijven?</t>
  </si>
  <si>
    <t>Overschreven aantal spreekruimten</t>
  </si>
  <si>
    <t>Totale grootte spreekruimten</t>
  </si>
  <si>
    <t>Ja Nee</t>
  </si>
  <si>
    <t>Onderwijsclusters</t>
  </si>
  <si>
    <t>1 cluster</t>
  </si>
  <si>
    <t>3 clusters OB+MB+BB</t>
  </si>
  <si>
    <t xml:space="preserve">Aantallen </t>
  </si>
  <si>
    <t>Groepgrootte centrale ontmoetingsruimte</t>
  </si>
  <si>
    <t>Hele klas</t>
  </si>
  <si>
    <t>Hele school</t>
  </si>
  <si>
    <t>Groepgrootte Leerpleinen</t>
  </si>
  <si>
    <t>Halve klas</t>
  </si>
  <si>
    <t>Twee klassen</t>
  </si>
  <si>
    <t>Kantoor</t>
  </si>
  <si>
    <t>Groot (16m²)</t>
  </si>
  <si>
    <t>16 m² (3-4 kinderen)</t>
  </si>
  <si>
    <t>32 m² (4-8 kinderen)</t>
  </si>
  <si>
    <t>Middel (6m²)</t>
  </si>
  <si>
    <t>Groot (12m²)</t>
  </si>
  <si>
    <t>Keuken/Foodlab</t>
  </si>
  <si>
    <t>Groot (24m²)</t>
  </si>
  <si>
    <t>Leerplein 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</si>
</sst>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81">
    <xf numFmtId="0" fontId="0" fillId="0" borderId="0" xfId="0"/>
    <xf numFmtId="0" fontId="4" fillId="0" borderId="0" xfId="0" applyFont="1"/>
    <xf numFmtId="0" fontId="0" fillId="4" borderId="0" xfId="0" applyFill="1"/>
    <xf numFmtId="164" fontId="3" fillId="3" borderId="2" xfId="1" applyNumberFormat="1" applyFont="1" applyFill="1" applyBorder="1"/>
    <xf numFmtId="9" fontId="0" fillId="0" borderId="0" xfId="0" applyNumberFormat="1"/>
    <xf numFmtId="0" fontId="0" fillId="0" borderId="3" xfId="0" applyBorder="1"/>
    <xf numFmtId="0" fontId="5" fillId="0" borderId="0" xfId="0" applyFont="1"/>
    <xf numFmtId="0" fontId="0" fillId="0" borderId="0" xfId="0" applyAlignment="1">
      <alignment horizontal="right"/>
    </xf>
    <xf numFmtId="11" fontId="4" fillId="0" borderId="0" xfId="0" applyNumberFormat="1" applyFont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164" fontId="3" fillId="3" borderId="2" xfId="1" applyNumberFormat="1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3" xfId="0" applyBorder="1" applyAlignment="1">
      <alignment wrapText="1"/>
    </xf>
    <xf numFmtId="0" fontId="4" fillId="0" borderId="8" xfId="0" applyFont="1" applyBorder="1" applyAlignment="1">
      <alignment vertical="top"/>
    </xf>
    <xf numFmtId="0" fontId="0" fillId="0" borderId="9" xfId="0" applyBorder="1" applyAlignment="1">
      <alignment wrapText="1"/>
    </xf>
    <xf numFmtId="0" fontId="4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0" fillId="0" borderId="5" xfId="0" applyBorder="1"/>
    <xf numFmtId="0" fontId="0" fillId="0" borderId="3" xfId="0" applyBorder="1" applyAlignment="1">
      <alignment horizontal="left" wrapText="1"/>
    </xf>
    <xf numFmtId="0" fontId="5" fillId="0" borderId="3" xfId="0" applyFont="1" applyBorder="1"/>
    <xf numFmtId="0" fontId="0" fillId="0" borderId="8" xfId="0" applyBorder="1" applyAlignment="1">
      <alignment wrapText="1"/>
    </xf>
    <xf numFmtId="0" fontId="5" fillId="0" borderId="4" xfId="0" applyFont="1" applyBorder="1"/>
    <xf numFmtId="0" fontId="0" fillId="0" borderId="13" xfId="0" applyBorder="1" applyAlignment="1">
      <alignment vertical="top"/>
    </xf>
    <xf numFmtId="0" fontId="4" fillId="0" borderId="3" xfId="0" applyFont="1" applyBorder="1"/>
    <xf numFmtId="164" fontId="3" fillId="3" borderId="14" xfId="1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164" fontId="3" fillId="3" borderId="3" xfId="1" applyNumberFormat="1" applyFont="1" applyFill="1" applyBorder="1" applyAlignment="1">
      <alignment vertical="top"/>
    </xf>
    <xf numFmtId="9" fontId="0" fillId="0" borderId="3" xfId="2" applyFont="1" applyBorder="1" applyAlignment="1">
      <alignment vertical="top"/>
    </xf>
    <xf numFmtId="164" fontId="3" fillId="3" borderId="5" xfId="1" applyNumberFormat="1" applyFont="1" applyFill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11" xfId="0" applyBorder="1" applyAlignment="1">
      <alignment vertical="top"/>
    </xf>
    <xf numFmtId="164" fontId="3" fillId="3" borderId="18" xfId="1" applyNumberFormat="1" applyFont="1" applyFill="1" applyBorder="1" applyAlignment="1">
      <alignment vertical="top"/>
    </xf>
    <xf numFmtId="0" fontId="4" fillId="0" borderId="4" xfId="0" applyFont="1" applyBorder="1"/>
    <xf numFmtId="0" fontId="3" fillId="3" borderId="3" xfId="4" applyBorder="1" applyAlignment="1">
      <alignment horizontal="right"/>
    </xf>
    <xf numFmtId="164" fontId="3" fillId="3" borderId="3" xfId="1" applyNumberFormat="1" applyFont="1" applyFill="1" applyBorder="1"/>
    <xf numFmtId="164" fontId="0" fillId="0" borderId="3" xfId="0" applyNumberFormat="1" applyBorder="1" applyAlignment="1">
      <alignment vertical="top"/>
    </xf>
    <xf numFmtId="9" fontId="0" fillId="0" borderId="3" xfId="2" applyFont="1" applyBorder="1"/>
    <xf numFmtId="164" fontId="3" fillId="3" borderId="14" xfId="1" applyNumberFormat="1" applyFont="1" applyFill="1" applyBorder="1"/>
    <xf numFmtId="0" fontId="0" fillId="0" borderId="8" xfId="0" applyBorder="1"/>
    <xf numFmtId="0" fontId="0" fillId="0" borderId="11" xfId="0" applyBorder="1"/>
    <xf numFmtId="0" fontId="2" fillId="2" borderId="3" xfId="3" applyBorder="1" applyAlignment="1" applyProtection="1">
      <alignment horizontal="center"/>
      <protection locked="0"/>
    </xf>
    <xf numFmtId="0" fontId="2" fillId="2" borderId="3" xfId="3" applyBorder="1" applyAlignment="1" applyProtection="1">
      <alignment horizontal="center" vertical="center"/>
      <protection locked="0"/>
    </xf>
    <xf numFmtId="0" fontId="2" fillId="2" borderId="12" xfId="3" applyBorder="1" applyAlignment="1" applyProtection="1">
      <alignment horizontal="center" vertical="center"/>
      <protection locked="0"/>
    </xf>
    <xf numFmtId="0" fontId="2" fillId="2" borderId="3" xfId="3" applyBorder="1" applyAlignment="1" applyProtection="1">
      <alignment horizontal="right"/>
      <protection locked="0"/>
    </xf>
    <xf numFmtId="0" fontId="2" fillId="2" borderId="3" xfId="3" applyBorder="1" applyProtection="1">
      <protection locked="0"/>
    </xf>
    <xf numFmtId="0" fontId="5" fillId="4" borderId="15" xfId="0" applyFont="1" applyFill="1" applyBorder="1"/>
    <xf numFmtId="0" fontId="0" fillId="4" borderId="6" xfId="0" applyFill="1" applyBorder="1"/>
    <xf numFmtId="0" fontId="0" fillId="4" borderId="16" xfId="0" applyFill="1" applyBorder="1"/>
    <xf numFmtId="0" fontId="0" fillId="0" borderId="19" xfId="0" applyBorder="1"/>
    <xf numFmtId="0" fontId="0" fillId="0" borderId="17" xfId="0" applyBorder="1"/>
    <xf numFmtId="164" fontId="0" fillId="0" borderId="0" xfId="1" applyNumberFormat="1" applyFont="1" applyBorder="1"/>
    <xf numFmtId="0" fontId="0" fillId="0" borderId="20" xfId="0" applyBorder="1"/>
    <xf numFmtId="0" fontId="5" fillId="0" borderId="7" xfId="0" applyFont="1" applyBorder="1"/>
    <xf numFmtId="164" fontId="0" fillId="0" borderId="7" xfId="1" applyNumberFormat="1" applyFont="1" applyBorder="1"/>
    <xf numFmtId="164" fontId="0" fillId="0" borderId="21" xfId="0" applyNumberFormat="1" applyBorder="1"/>
    <xf numFmtId="0" fontId="4" fillId="5" borderId="8" xfId="0" applyFont="1" applyFill="1" applyBorder="1"/>
    <xf numFmtId="0" fontId="0" fillId="5" borderId="9" xfId="0" applyFill="1" applyBorder="1"/>
    <xf numFmtId="0" fontId="0" fillId="4" borderId="6" xfId="0" applyFill="1" applyBorder="1" applyAlignment="1">
      <alignment horizontal="left"/>
    </xf>
    <xf numFmtId="164" fontId="0" fillId="4" borderId="6" xfId="1" applyNumberFormat="1" applyFont="1" applyFill="1" applyBorder="1"/>
    <xf numFmtId="164" fontId="0" fillId="4" borderId="16" xfId="1" applyNumberFormat="1" applyFont="1" applyFill="1" applyBorder="1"/>
    <xf numFmtId="1" fontId="0" fillId="0" borderId="0" xfId="1" applyNumberFormat="1" applyFont="1" applyBorder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0" borderId="7" xfId="0" applyBorder="1"/>
    <xf numFmtId="164" fontId="0" fillId="5" borderId="9" xfId="1" applyNumberFormat="1" applyFont="1" applyFill="1" applyBorder="1"/>
    <xf numFmtId="164" fontId="0" fillId="5" borderId="11" xfId="1" applyNumberFormat="1" applyFont="1" applyFill="1" applyBorder="1"/>
    <xf numFmtId="0" fontId="4" fillId="5" borderId="15" xfId="0" applyFont="1" applyFill="1" applyBorder="1"/>
    <xf numFmtId="0" fontId="0" fillId="5" borderId="6" xfId="0" applyFill="1" applyBorder="1"/>
    <xf numFmtId="164" fontId="0" fillId="5" borderId="16" xfId="0" applyNumberFormat="1" applyFill="1" applyBorder="1"/>
    <xf numFmtId="0" fontId="0" fillId="0" borderId="21" xfId="0" applyBorder="1"/>
    <xf numFmtId="0" fontId="2" fillId="2" borderId="10" xfId="3" applyBorder="1" applyAlignment="1" applyProtection="1">
      <alignment horizontal="center" vertical="center"/>
      <protection locked="0"/>
    </xf>
    <xf numFmtId="9" fontId="2" fillId="2" borderId="11" xfId="2" applyFont="1" applyFill="1" applyBorder="1" applyAlignment="1" applyProtection="1">
      <alignment horizontal="center" vertical="center"/>
      <protection locked="0"/>
    </xf>
    <xf numFmtId="9" fontId="3" fillId="3" borderId="3" xfId="2" applyFont="1" applyFill="1" applyBorder="1" applyAlignment="1">
      <alignment horizontal="right"/>
    </xf>
    <xf numFmtId="0" fontId="0" fillId="0" borderId="11" xfId="0" applyBorder="1" applyAlignment="1">
      <alignment wrapText="1"/>
    </xf>
    <xf numFmtId="0" fontId="0" fillId="0" borderId="13" xfId="0" applyBorder="1"/>
    <xf numFmtId="0" fontId="3" fillId="3" borderId="3" xfId="4" applyBorder="1" applyAlignment="1" applyProtection="1">
      <alignment horizontal="center"/>
    </xf>
    <xf numFmtId="0" fontId="0" fillId="0" borderId="3" xfId="0" applyBorder="1" applyAlignment="1">
      <alignment horizontal="center"/>
    </xf>
    <xf numFmtId="164" fontId="0" fillId="0" borderId="0" xfId="1" applyNumberFormat="1" applyFont="1"/>
    <xf numFmtId="0" fontId="2" fillId="2" borderId="3" xfId="3" applyBorder="1" applyAlignment="1" applyProtection="1">
      <alignment horizontal="center"/>
      <protection locked="0"/>
    </xf>
  </cellXfs>
  <cellStyles count="5">
    <cellStyle name="Invoer" xfId="3" builtinId="20"/>
    <cellStyle name="Komma" xfId="1" builtinId="3"/>
    <cellStyle name="Procent" xfId="2" builtinId="5"/>
    <cellStyle name="Standaard" xfId="0" builtinId="0"/>
    <cellStyle name="Uitvoer" xfId="4" builtinId="21"/>
  </cellStyles>
  <dxfs count="13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E2EFDA"/>
        </patternFill>
      </fill>
    </dxf>
    <dxf>
      <fill>
        <patternFill>
          <bgColor rgb="FFFFBEAF"/>
        </patternFill>
      </fill>
    </dxf>
  </dxfs>
  <tableStyles count="0" defaultTableStyle="TableStyleMedium2" defaultPivotStyle="PivotStyleLight16"/>
  <colors>
    <mruColors>
      <color rgb="FFFFC7CE"/>
      <color rgb="FFC6EFCE"/>
      <color rgb="FFFFEB9C"/>
      <color rgb="FFFFBEAF"/>
      <color rgb="FFE2EFDA"/>
      <color rgb="FFFF9F9F"/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E07B-D282-415F-859D-97CB42F6398A}">
  <dimension ref="B2:E60"/>
  <sheetViews>
    <sheetView showGridLines="0" topLeftCell="A37" zoomScaleNormal="100" workbookViewId="0">
      <selection activeCell="H12" sqref="H12"/>
    </sheetView>
  </sheetViews>
  <sheetFormatPr defaultRowHeight="15"/>
  <cols>
    <col min="2" max="2" width="19.7109375" bestFit="1" customWidth="1"/>
    <col min="3" max="3" width="46.5703125" bestFit="1" customWidth="1"/>
    <col min="4" max="4" width="10.5703125" bestFit="1" customWidth="1"/>
    <col min="11" max="11" width="28.42578125" bestFit="1" customWidth="1"/>
    <col min="12" max="12" width="3.140625" bestFit="1" customWidth="1"/>
  </cols>
  <sheetData>
    <row r="2" spans="2:5">
      <c r="B2" s="68" t="s">
        <v>0</v>
      </c>
      <c r="C2" s="69"/>
      <c r="D2" s="69"/>
      <c r="E2" s="70">
        <f>E6+E10+E28+E14+E23</f>
        <v>631.66</v>
      </c>
    </row>
    <row r="3" spans="2:5">
      <c r="B3" s="48" t="s">
        <v>1</v>
      </c>
      <c r="C3" s="49"/>
      <c r="D3" s="49" t="s">
        <v>2</v>
      </c>
      <c r="E3" s="50"/>
    </row>
    <row r="4" spans="2:5">
      <c r="B4" s="51"/>
      <c r="C4" t="s">
        <v>3</v>
      </c>
      <c r="D4" s="53">
        <f>Vragenlijst!I5</f>
        <v>140.72</v>
      </c>
      <c r="E4" s="52"/>
    </row>
    <row r="5" spans="2:5">
      <c r="B5" s="51"/>
      <c r="C5" t="s">
        <v>4</v>
      </c>
      <c r="D5" s="53">
        <f>Vragenlijst!I6</f>
        <v>281.44</v>
      </c>
      <c r="E5" s="52"/>
    </row>
    <row r="6" spans="2:5">
      <c r="B6" s="54"/>
      <c r="C6" s="55" t="s">
        <v>5</v>
      </c>
      <c r="D6" s="56"/>
      <c r="E6" s="57">
        <f>SUM(D4:D5)</f>
        <v>422.15999999999997</v>
      </c>
    </row>
    <row r="7" spans="2:5">
      <c r="B7" s="48" t="s">
        <v>6</v>
      </c>
      <c r="C7" s="60"/>
      <c r="D7" s="61" t="s">
        <v>2</v>
      </c>
      <c r="E7" s="62"/>
    </row>
    <row r="8" spans="2:5">
      <c r="B8" s="51"/>
      <c r="C8" t="str">
        <f>Vragenlijst!G11</f>
        <v>Centrale ontmoetingsruimte incl. podium</v>
      </c>
      <c r="D8" s="63">
        <f>Vragenlijst!I11</f>
        <v>78</v>
      </c>
      <c r="E8" s="52"/>
    </row>
    <row r="9" spans="2:5">
      <c r="B9" s="51"/>
      <c r="C9" t="s">
        <v>7</v>
      </c>
      <c r="D9" s="63">
        <f>Vragenlijst!I14</f>
        <v>0</v>
      </c>
      <c r="E9" s="52"/>
    </row>
    <row r="10" spans="2:5">
      <c r="B10" s="54"/>
      <c r="C10" s="55" t="s">
        <v>5</v>
      </c>
      <c r="D10" s="65"/>
      <c r="E10" s="57">
        <f>SUM(D8:D10)</f>
        <v>78</v>
      </c>
    </row>
    <row r="11" spans="2:5">
      <c r="B11" s="48" t="s">
        <v>8</v>
      </c>
      <c r="C11" s="60"/>
      <c r="D11" s="61" t="s">
        <v>2</v>
      </c>
      <c r="E11" s="62"/>
    </row>
    <row r="12" spans="2:5">
      <c r="B12" s="51"/>
      <c r="C12" t="s">
        <v>9</v>
      </c>
      <c r="D12" s="63">
        <f>Vragenlijst!I16</f>
        <v>24</v>
      </c>
      <c r="E12" s="52"/>
    </row>
    <row r="13" spans="2:5">
      <c r="B13" s="51"/>
      <c r="C13" t="s">
        <v>10</v>
      </c>
      <c r="D13" s="63">
        <f>Vragenlijst!I10</f>
        <v>24</v>
      </c>
      <c r="E13" s="52"/>
    </row>
    <row r="14" spans="2:5">
      <c r="B14" s="54"/>
      <c r="C14" s="55" t="s">
        <v>5</v>
      </c>
      <c r="D14" s="65"/>
      <c r="E14" s="57">
        <f>SUM(D12:D14)</f>
        <v>48</v>
      </c>
    </row>
    <row r="15" spans="2:5">
      <c r="B15" s="48" t="s">
        <v>11</v>
      </c>
      <c r="C15" s="60"/>
      <c r="D15" s="61" t="s">
        <v>2</v>
      </c>
      <c r="E15" s="62"/>
    </row>
    <row r="16" spans="2:5">
      <c r="B16" s="51"/>
      <c r="C16" t="s">
        <v>12</v>
      </c>
      <c r="D16" s="63">
        <f>Vragenlijst!I26</f>
        <v>36</v>
      </c>
      <c r="E16" s="52"/>
    </row>
    <row r="17" spans="2:5">
      <c r="B17" s="51"/>
      <c r="C17" t="s">
        <v>13</v>
      </c>
      <c r="D17" s="63">
        <f>Vragenlijst!I22</f>
        <v>8</v>
      </c>
      <c r="E17" s="52"/>
    </row>
    <row r="18" spans="2:5">
      <c r="B18" s="51"/>
      <c r="C18" t="s">
        <v>14</v>
      </c>
      <c r="D18" s="64">
        <f>Vragenlijst!I15</f>
        <v>0</v>
      </c>
      <c r="E18" s="52"/>
    </row>
    <row r="19" spans="2:5">
      <c r="B19" s="51"/>
      <c r="C19" t="s">
        <v>15</v>
      </c>
      <c r="D19" s="64">
        <f>Vragenlijst!I17</f>
        <v>8</v>
      </c>
      <c r="E19" s="52"/>
    </row>
    <row r="20" spans="2:5">
      <c r="B20" s="51"/>
      <c r="C20" t="s">
        <v>16</v>
      </c>
      <c r="D20" s="64">
        <f>Vragenlijst!I18</f>
        <v>0</v>
      </c>
      <c r="E20" s="52"/>
    </row>
    <row r="21" spans="2:5">
      <c r="B21" s="51"/>
      <c r="C21" t="s">
        <v>17</v>
      </c>
      <c r="D21" s="64">
        <f>Vragenlijst!I19</f>
        <v>0</v>
      </c>
      <c r="E21" s="52"/>
    </row>
    <row r="22" spans="2:5">
      <c r="B22" s="51"/>
      <c r="C22" t="s">
        <v>18</v>
      </c>
      <c r="D22" s="64">
        <f>Vragenlijst!I21</f>
        <v>6</v>
      </c>
      <c r="E22" s="52"/>
    </row>
    <row r="23" spans="2:5">
      <c r="B23" s="54"/>
      <c r="C23" s="55" t="s">
        <v>5</v>
      </c>
      <c r="D23" s="65"/>
      <c r="E23" s="57">
        <f>SUM(D16:D22)</f>
        <v>58</v>
      </c>
    </row>
    <row r="24" spans="2:5">
      <c r="B24" s="48" t="s">
        <v>19</v>
      </c>
      <c r="C24" s="49"/>
      <c r="D24" s="61" t="s">
        <v>2</v>
      </c>
      <c r="E24" s="62"/>
    </row>
    <row r="25" spans="2:5">
      <c r="B25" s="51"/>
      <c r="C25" t="s">
        <v>20</v>
      </c>
      <c r="D25" s="53">
        <f>Vragenlijst!I23</f>
        <v>15</v>
      </c>
      <c r="E25" s="52"/>
    </row>
    <row r="26" spans="2:5">
      <c r="B26" s="51"/>
      <c r="C26" t="s">
        <v>21</v>
      </c>
      <c r="D26" s="53">
        <f>Vragenlijst!I24</f>
        <v>2.5</v>
      </c>
      <c r="E26" s="52"/>
    </row>
    <row r="27" spans="2:5">
      <c r="B27" s="51"/>
      <c r="C27" t="s">
        <v>22</v>
      </c>
      <c r="D27" s="53">
        <f>Vragenlijst!I25</f>
        <v>8</v>
      </c>
      <c r="E27" s="52"/>
    </row>
    <row r="28" spans="2:5">
      <c r="B28" s="54"/>
      <c r="C28" s="55" t="s">
        <v>5</v>
      </c>
      <c r="D28" s="56"/>
      <c r="E28" s="57">
        <f>SUM(D25:D27)</f>
        <v>25.5</v>
      </c>
    </row>
    <row r="29" spans="2:5">
      <c r="B29" s="58" t="s">
        <v>23</v>
      </c>
      <c r="C29" s="59"/>
      <c r="D29" s="66"/>
      <c r="E29" s="67">
        <f>E34+E39+E44+E49</f>
        <v>590</v>
      </c>
    </row>
    <row r="30" spans="2:5">
      <c r="B30" s="48" t="s">
        <v>24</v>
      </c>
      <c r="C30" s="60" t="str">
        <f>IF(AND(C35="Cluster niet gekozen",C40="Cluster niet gekozen",C45="Cluster niet gekozen"),"Geen cluster gekozen","Clusters gekozen")</f>
        <v>Clusters gekozen</v>
      </c>
      <c r="D30" s="61" t="s">
        <v>2</v>
      </c>
      <c r="E30" s="62"/>
    </row>
    <row r="31" spans="2:5">
      <c r="B31" s="51"/>
      <c r="C31" t="s">
        <v>25</v>
      </c>
      <c r="D31" s="53">
        <f>IF(C30="Clusters gekozen",0,Vragenlijst!E14*'Rekenmodel (achterkant)'!C19)</f>
        <v>0</v>
      </c>
      <c r="E31" s="52"/>
    </row>
    <row r="32" spans="2:5">
      <c r="B32" s="51"/>
      <c r="C32" t="s">
        <v>26</v>
      </c>
      <c r="D32" s="53">
        <f>IF(C30="Clusters gekozen",0,'Rekenmodel (achterkant)'!C49)</f>
        <v>0</v>
      </c>
      <c r="E32" s="52"/>
    </row>
    <row r="33" spans="2:5">
      <c r="B33" s="51"/>
      <c r="C33" t="s">
        <v>27</v>
      </c>
      <c r="D33" s="53">
        <f>IF(C30="Clusters gekozen",0,'Rekenmodel (achterkant)'!J20)</f>
        <v>0</v>
      </c>
      <c r="E33" s="52"/>
    </row>
    <row r="34" spans="2:5">
      <c r="B34" s="54"/>
      <c r="C34" s="55" t="s">
        <v>5</v>
      </c>
      <c r="D34" s="56"/>
      <c r="E34" s="57">
        <f>SUM(D31:D33)</f>
        <v>0</v>
      </c>
    </row>
    <row r="35" spans="2:5">
      <c r="B35" s="48" t="s">
        <v>28</v>
      </c>
      <c r="C35" s="60" t="str">
        <f>Vragenlijst!E15</f>
        <v>Cluster gekozen</v>
      </c>
      <c r="D35" s="61" t="s">
        <v>2</v>
      </c>
      <c r="E35" s="62"/>
    </row>
    <row r="36" spans="2:5">
      <c r="B36" s="51"/>
      <c r="C36" t="s">
        <v>25</v>
      </c>
      <c r="D36" s="53">
        <f>IF(C35="Cluster gekozen",Vragenlijst!D15*'Rekenmodel (achterkant)'!C19,0)</f>
        <v>256</v>
      </c>
      <c r="E36" s="52"/>
    </row>
    <row r="37" spans="2:5">
      <c r="B37" s="51"/>
      <c r="C37" t="s">
        <v>26</v>
      </c>
      <c r="D37" s="53">
        <f>IF(C35="Cluster gekozen",'Rekenmodel (achterkant)'!C49,0)</f>
        <v>36</v>
      </c>
      <c r="E37" s="52"/>
    </row>
    <row r="38" spans="2:5">
      <c r="B38" s="51"/>
      <c r="C38" t="s">
        <v>29</v>
      </c>
      <c r="D38" s="53">
        <f>IF(C35="Cluster gekozen",'Rekenmodel (achterkant)'!J20/'Rekenmodel (achterkant)'!C45,0)</f>
        <v>3</v>
      </c>
      <c r="E38" s="52"/>
    </row>
    <row r="39" spans="2:5">
      <c r="B39" s="54"/>
      <c r="C39" s="55" t="s">
        <v>5</v>
      </c>
      <c r="D39" s="56"/>
      <c r="E39" s="57">
        <f>SUM(D36:D38)</f>
        <v>295</v>
      </c>
    </row>
    <row r="40" spans="2:5">
      <c r="B40" s="48" t="s">
        <v>30</v>
      </c>
      <c r="C40" s="60" t="str">
        <f>Vragenlijst!E16</f>
        <v>Cluster niet gekozen</v>
      </c>
      <c r="D40" s="61" t="s">
        <v>2</v>
      </c>
      <c r="E40" s="62"/>
    </row>
    <row r="41" spans="2:5">
      <c r="B41" s="51"/>
      <c r="C41" t="s">
        <v>25</v>
      </c>
      <c r="D41" s="53">
        <f>IF(C40="Cluster gekozen",Vragenlijst!D16*'Rekenmodel (achterkant)'!C19,0)</f>
        <v>0</v>
      </c>
      <c r="E41" s="52"/>
    </row>
    <row r="42" spans="2:5">
      <c r="B42" s="51"/>
      <c r="C42" t="s">
        <v>26</v>
      </c>
      <c r="D42" s="53">
        <f>IF(C40="Cluster gekozen",'Rekenmodel (achterkant)'!C49,)</f>
        <v>0</v>
      </c>
      <c r="E42" s="52"/>
    </row>
    <row r="43" spans="2:5">
      <c r="B43" s="51"/>
      <c r="C43" t="s">
        <v>29</v>
      </c>
      <c r="D43" s="79">
        <f>IF(C40="Cluster gekozen",'Rekenmodel (achterkant)'!J20/'Rekenmodel (achterkant)'!C45,0)</f>
        <v>0</v>
      </c>
      <c r="E43" s="52"/>
    </row>
    <row r="44" spans="2:5">
      <c r="B44" s="54"/>
      <c r="C44" s="55" t="s">
        <v>5</v>
      </c>
      <c r="D44" s="56"/>
      <c r="E44" s="57">
        <f>SUM(D41:D43)</f>
        <v>0</v>
      </c>
    </row>
    <row r="45" spans="2:5">
      <c r="B45" s="48" t="s">
        <v>31</v>
      </c>
      <c r="C45" s="60" t="str">
        <f>Vragenlijst!E17</f>
        <v>Cluster gekozen</v>
      </c>
      <c r="D45" s="61" t="s">
        <v>2</v>
      </c>
      <c r="E45" s="62"/>
    </row>
    <row r="46" spans="2:5">
      <c r="B46" s="51"/>
      <c r="C46" t="s">
        <v>25</v>
      </c>
      <c r="D46" s="53">
        <f>IF(C45="Cluster gekozen",Vragenlijst!D17*'Rekenmodel (achterkant)'!C19,0)</f>
        <v>256</v>
      </c>
      <c r="E46" s="52"/>
    </row>
    <row r="47" spans="2:5">
      <c r="B47" s="51"/>
      <c r="C47" t="s">
        <v>26</v>
      </c>
      <c r="D47" s="53">
        <f>IF(C45="Cluster gekozen",'Rekenmodel (achterkant)'!C49,0)</f>
        <v>36</v>
      </c>
      <c r="E47" s="52"/>
    </row>
    <row r="48" spans="2:5">
      <c r="B48" s="51"/>
      <c r="C48" t="s">
        <v>29</v>
      </c>
      <c r="D48">
        <f>IF(C45="Cluster gekozen",'Rekenmodel (achterkant)'!J20/'Rekenmodel (achterkant)'!C45,0)</f>
        <v>3</v>
      </c>
      <c r="E48" s="52"/>
    </row>
    <row r="49" spans="2:5">
      <c r="B49" s="54"/>
      <c r="C49" s="55" t="s">
        <v>5</v>
      </c>
      <c r="D49" s="56"/>
      <c r="E49" s="57">
        <f>SUM(D46:D48)</f>
        <v>295</v>
      </c>
    </row>
    <row r="50" spans="2:5">
      <c r="B50" s="58" t="s">
        <v>32</v>
      </c>
      <c r="C50" s="59"/>
      <c r="D50" s="66"/>
      <c r="E50" s="67">
        <f>E53</f>
        <v>90</v>
      </c>
    </row>
    <row r="51" spans="2:5">
      <c r="B51" s="48" t="s">
        <v>33</v>
      </c>
      <c r="C51" s="60" t="str">
        <f>IF(Vragenlijst!D23="Ja","Gekozen","Niet gekozen")</f>
        <v>Gekozen</v>
      </c>
      <c r="D51" s="61" t="s">
        <v>2</v>
      </c>
      <c r="E51" s="62"/>
    </row>
    <row r="52" spans="2:5">
      <c r="B52" s="51"/>
      <c r="C52" t="s">
        <v>34</v>
      </c>
      <c r="D52" s="53">
        <f>Vragenlijst!I13</f>
        <v>90</v>
      </c>
      <c r="E52" s="52"/>
    </row>
    <row r="53" spans="2:5">
      <c r="B53" s="54"/>
      <c r="C53" s="55" t="s">
        <v>5</v>
      </c>
      <c r="D53" s="65"/>
      <c r="E53" s="57">
        <f>SUM(D52)</f>
        <v>90</v>
      </c>
    </row>
    <row r="54" spans="2:5">
      <c r="B54" s="58" t="s">
        <v>35</v>
      </c>
      <c r="C54" s="59"/>
      <c r="D54" s="66"/>
      <c r="E54" s="67"/>
    </row>
    <row r="55" spans="2:5">
      <c r="B55" s="48" t="s">
        <v>36</v>
      </c>
      <c r="C55" s="49"/>
      <c r="D55" s="61" t="s">
        <v>2</v>
      </c>
      <c r="E55" s="62"/>
    </row>
    <row r="56" spans="2:5">
      <c r="B56" s="54"/>
      <c r="C56" s="65" t="s">
        <v>37</v>
      </c>
      <c r="D56" s="56"/>
      <c r="E56" s="57">
        <f>E50+E29++E2</f>
        <v>1311.6599999999999</v>
      </c>
    </row>
    <row r="57" spans="2:5">
      <c r="B57" s="48" t="s">
        <v>38</v>
      </c>
      <c r="C57" s="49"/>
      <c r="D57" s="61"/>
      <c r="E57" s="62"/>
    </row>
    <row r="58" spans="2:5">
      <c r="B58" s="54"/>
      <c r="C58" s="65" t="s">
        <v>39</v>
      </c>
      <c r="D58" s="56"/>
      <c r="E58" s="71">
        <f>Vragenlijst!H4</f>
        <v>1407.2</v>
      </c>
    </row>
    <row r="59" spans="2:5">
      <c r="B59" s="48" t="s">
        <v>40</v>
      </c>
      <c r="C59" s="49"/>
      <c r="D59" s="61"/>
      <c r="E59" s="62"/>
    </row>
    <row r="60" spans="2:5">
      <c r="B60" s="54"/>
      <c r="C60" s="65" t="s">
        <v>41</v>
      </c>
      <c r="D60" s="56">
        <f>E58-E56</f>
        <v>95.540000000000191</v>
      </c>
      <c r="E60" s="71"/>
    </row>
  </sheetData>
  <sheetProtection algorithmName="SHA-512" hashValue="OmjzD2C97LQch6uJQL3C9xcp5x0dXV9vbljsDyvEfAjQbSiCjjuBGW4cTQYs4X7PNiA8quS0eMPZT0D7IRHmhQ==" saltValue="iLTa/8EPGSj7uL5HwMCNJQ==" spinCount="100000" sheet="1" objects="1" scenarios="1" selectLockedCells="1"/>
  <conditionalFormatting sqref="D60">
    <cfRule type="cellIs" dxfId="12" priority="8" operator="lessThan">
      <formula>0</formula>
    </cfRule>
    <cfRule type="cellIs" dxfId="11" priority="9" operator="greaterThanOrEqual">
      <formula>0</formula>
    </cfRule>
  </conditionalFormatting>
  <conditionalFormatting sqref="D41:D43">
    <cfRule type="expression" dxfId="10" priority="5">
      <formula>IF($C$40="Cluster niet gekozen"&amp;$D$41=0,)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09FF-76A6-4EF1-BF78-E4A83565F7E1}">
  <dimension ref="B3:J41"/>
  <sheetViews>
    <sheetView showGridLines="0" tabSelected="1" zoomScaleNormal="100" workbookViewId="0">
      <selection activeCell="D5" sqref="D5"/>
    </sheetView>
  </sheetViews>
  <sheetFormatPr defaultRowHeight="15"/>
  <cols>
    <col min="2" max="2" width="26.85546875" bestFit="1" customWidth="1"/>
    <col min="3" max="3" width="45.5703125" customWidth="1"/>
    <col min="4" max="4" width="19.7109375" bestFit="1" customWidth="1"/>
    <col min="5" max="5" width="19.42578125" bestFit="1" customWidth="1"/>
    <col min="7" max="7" width="54" bestFit="1" customWidth="1"/>
    <col min="8" max="9" width="10.7109375" bestFit="1" customWidth="1"/>
  </cols>
  <sheetData>
    <row r="3" spans="2:9">
      <c r="G3" s="12" t="s">
        <v>42</v>
      </c>
      <c r="H3" s="28" t="s">
        <v>2</v>
      </c>
      <c r="I3" s="28" t="s">
        <v>2</v>
      </c>
    </row>
    <row r="4" spans="2:9">
      <c r="B4" s="12" t="s">
        <v>43</v>
      </c>
      <c r="C4" s="5" t="s">
        <v>44</v>
      </c>
      <c r="D4" s="43">
        <v>240</v>
      </c>
      <c r="E4" s="77">
        <f>'Rekenmodel (achterkant)'!C7</f>
        <v>1407.2</v>
      </c>
      <c r="G4" s="28" t="s">
        <v>45</v>
      </c>
      <c r="H4" s="31">
        <f>'Rekenmodel (achterkant)'!I4</f>
        <v>1407.2</v>
      </c>
      <c r="I4" s="9"/>
    </row>
    <row r="5" spans="2:9">
      <c r="B5" s="25"/>
      <c r="C5" s="5" t="s">
        <v>46</v>
      </c>
      <c r="D5" s="43" t="s">
        <v>47</v>
      </c>
      <c r="E5" s="43"/>
      <c r="G5" s="28" t="str">
        <f>'Rekenmodel (achterkant)'!H5</f>
        <v>m² voor Verkeersruimten en technische installatieruimten</v>
      </c>
      <c r="H5" s="30">
        <f>'Rekenmodel (achterkant)'!I5</f>
        <v>0.1</v>
      </c>
      <c r="I5" s="29">
        <f>'Rekenmodel (achterkant)'!J5</f>
        <v>140.72</v>
      </c>
    </row>
    <row r="6" spans="2:9">
      <c r="B6" s="25"/>
      <c r="C6" s="5" t="s">
        <v>48</v>
      </c>
      <c r="D6" s="80" t="s">
        <v>49</v>
      </c>
      <c r="E6" s="80"/>
      <c r="G6" s="28" t="str">
        <f>'Rekenmodel (achterkant)'!H6</f>
        <v>m² voor Constructieoppervlakten</v>
      </c>
      <c r="H6" s="30">
        <f>'Rekenmodel (achterkant)'!I6</f>
        <v>0.2</v>
      </c>
      <c r="I6" s="29">
        <f>'Rekenmodel (achterkant)'!J6</f>
        <v>281.44</v>
      </c>
    </row>
    <row r="7" spans="2:9">
      <c r="B7" s="13"/>
      <c r="C7" s="5" t="s">
        <v>50</v>
      </c>
      <c r="D7" s="43">
        <v>12</v>
      </c>
      <c r="G7" s="9"/>
      <c r="H7" s="9" t="s">
        <v>51</v>
      </c>
      <c r="I7" s="9"/>
    </row>
    <row r="8" spans="2:9">
      <c r="B8" s="9"/>
      <c r="G8" s="19" t="s">
        <v>52</v>
      </c>
      <c r="H8" s="29">
        <f>H4-I5-I6</f>
        <v>985.04</v>
      </c>
      <c r="I8" s="9"/>
    </row>
    <row r="9" spans="2:9">
      <c r="B9" s="12" t="s">
        <v>53</v>
      </c>
      <c r="C9" s="5" t="s">
        <v>54</v>
      </c>
      <c r="D9" s="77">
        <f>'Rekenmodel (achterkant)'!C12</f>
        <v>8</v>
      </c>
      <c r="G9" s="32" t="s">
        <v>53</v>
      </c>
      <c r="H9" s="33"/>
      <c r="I9" s="27">
        <f>'Rekenmodel (achterkant)'!J9</f>
        <v>512</v>
      </c>
    </row>
    <row r="10" spans="2:9">
      <c r="B10" s="25"/>
      <c r="C10" s="5" t="s">
        <v>55</v>
      </c>
      <c r="D10" s="43">
        <v>0</v>
      </c>
      <c r="G10" s="32" t="s">
        <v>56</v>
      </c>
      <c r="H10" s="33"/>
      <c r="I10" s="11">
        <f>'Rekenmodel (achterkant)'!J10</f>
        <v>24</v>
      </c>
    </row>
    <row r="11" spans="2:9">
      <c r="B11" s="13"/>
      <c r="C11" s="5" t="s">
        <v>57</v>
      </c>
      <c r="D11" s="77">
        <f>'Rekenmodel (achterkant)'!C14</f>
        <v>8</v>
      </c>
      <c r="G11" s="32" t="str">
        <f>'Rekenmodel (achterkant)'!H11</f>
        <v>Centrale ontmoetingsruimte incl. podium</v>
      </c>
      <c r="H11" s="33"/>
      <c r="I11" s="11">
        <f>'Rekenmodel (achterkant)'!J11</f>
        <v>78</v>
      </c>
    </row>
    <row r="12" spans="2:9">
      <c r="B12" s="9"/>
      <c r="G12" s="32" t="str">
        <f>'Rekenmodel (achterkant)'!H12</f>
        <v>Leerpleinen</v>
      </c>
      <c r="H12" s="33"/>
      <c r="I12" s="11">
        <f>'Rekenmodel (achterkant)'!J12</f>
        <v>88</v>
      </c>
    </row>
    <row r="13" spans="2:9">
      <c r="B13" s="12" t="s">
        <v>58</v>
      </c>
      <c r="C13" s="5" t="s">
        <v>53</v>
      </c>
      <c r="D13" s="26" t="s">
        <v>59</v>
      </c>
      <c r="E13" s="26" t="s">
        <v>60</v>
      </c>
      <c r="G13" s="32" t="str">
        <f>'Rekenmodel (achterkant)'!H13</f>
        <v xml:space="preserve">Speellokaal </v>
      </c>
      <c r="H13" s="33"/>
      <c r="I13" s="11">
        <f>'Rekenmodel (achterkant)'!J13</f>
        <v>90</v>
      </c>
    </row>
    <row r="14" spans="2:9">
      <c r="B14" s="25"/>
      <c r="C14" s="5" t="s">
        <v>57</v>
      </c>
      <c r="D14" s="77">
        <f>'Rekenmodel (achterkant)'!C14</f>
        <v>8</v>
      </c>
      <c r="E14" s="78">
        <f>IF(ISNUMBER(SEARCH("1",D6)),D14,SUM(D15:D17))</f>
        <v>8</v>
      </c>
      <c r="G14" s="32" t="str">
        <f>'Rekenmodel (achterkant)'!H14</f>
        <v>Bibliotheek</v>
      </c>
      <c r="H14" s="33"/>
      <c r="I14" s="11">
        <f>'Rekenmodel (achterkant)'!J14</f>
        <v>0</v>
      </c>
    </row>
    <row r="15" spans="2:9">
      <c r="B15" s="25"/>
      <c r="C15" s="5" t="s">
        <v>61</v>
      </c>
      <c r="D15" s="43">
        <v>4</v>
      </c>
      <c r="E15" s="78" t="str">
        <f>IF(ISNUMBER(SEARCH("OB",D6)),"Cluster gekozen","Cluster niet gekozen")</f>
        <v>Cluster gekozen</v>
      </c>
      <c r="G15" s="32" t="str">
        <f>'Rekenmodel (achterkant)'!H15</f>
        <v>Cretieve en techniekruimte</v>
      </c>
      <c r="H15" s="33"/>
      <c r="I15" s="11">
        <f>'Rekenmodel (achterkant)'!J15</f>
        <v>0</v>
      </c>
    </row>
    <row r="16" spans="2:9">
      <c r="B16" s="25"/>
      <c r="C16" s="5" t="s">
        <v>62</v>
      </c>
      <c r="D16" s="43"/>
      <c r="E16" s="78" t="str">
        <f>IF(ISNUMBER(SEARCH("MB",D6)),"Cluster gekozen","Cluster niet gekozen")</f>
        <v>Cluster niet gekozen</v>
      </c>
      <c r="G16" s="32" t="str">
        <f>'Rekenmodel (achterkant)'!H16</f>
        <v>Kantoorruimten</v>
      </c>
      <c r="H16" s="33"/>
      <c r="I16" s="11">
        <f>'Rekenmodel (achterkant)'!J16</f>
        <v>24</v>
      </c>
    </row>
    <row r="17" spans="2:10">
      <c r="B17" s="13"/>
      <c r="C17" s="5" t="s">
        <v>63</v>
      </c>
      <c r="D17" s="43">
        <v>4</v>
      </c>
      <c r="E17" s="78" t="str">
        <f>IF(ISNUMBER(SEARCH("BB",D6)),"Cluster gekozen","Cluster niet gekozen")</f>
        <v>Cluster gekozen</v>
      </c>
      <c r="G17" s="32" t="str">
        <f>'Rekenmodel (achterkant)'!H17</f>
        <v>Prikkelarme ruimten</v>
      </c>
      <c r="H17" s="33"/>
      <c r="I17" s="11">
        <f>'Rekenmodel (achterkant)'!J17</f>
        <v>8</v>
      </c>
    </row>
    <row r="18" spans="2:10">
      <c r="B18" s="9"/>
      <c r="G18" s="32" t="str">
        <f>'Rekenmodel (achterkant)'!H18</f>
        <v>Zorg- en behandelruimte</v>
      </c>
      <c r="H18" s="33"/>
      <c r="I18" s="11">
        <f>'Rekenmodel (achterkant)'!J18</f>
        <v>0</v>
      </c>
    </row>
    <row r="19" spans="2:10" ht="30">
      <c r="B19" s="17" t="s">
        <v>64</v>
      </c>
      <c r="C19" s="16" t="s">
        <v>65</v>
      </c>
      <c r="D19" s="72" t="s">
        <v>66</v>
      </c>
      <c r="G19" s="32" t="str">
        <f>'Rekenmodel (achterkant)'!H19</f>
        <v>Was- en droogruimte</v>
      </c>
      <c r="H19" s="33"/>
      <c r="I19" s="11">
        <f>'Rekenmodel (achterkant)'!J19</f>
        <v>0</v>
      </c>
    </row>
    <row r="20" spans="2:10">
      <c r="G20" s="32" t="str">
        <f>'Rekenmodel (achterkant)'!H20</f>
        <v>Bergruimten</v>
      </c>
      <c r="H20" s="33"/>
      <c r="I20" s="11">
        <f>'Rekenmodel (achterkant)'!J20</f>
        <v>6</v>
      </c>
    </row>
    <row r="21" spans="2:10" ht="30">
      <c r="B21" s="15" t="s">
        <v>67</v>
      </c>
      <c r="C21" s="14" t="s">
        <v>68</v>
      </c>
      <c r="D21" s="73">
        <v>0.3</v>
      </c>
      <c r="G21" s="32" t="str">
        <f>'Rekenmodel (achterkant)'!H21</f>
        <v>Print- en kopieerruimte</v>
      </c>
      <c r="H21" s="33"/>
      <c r="I21" s="11">
        <f>'Rekenmodel (achterkant)'!J21</f>
        <v>6</v>
      </c>
    </row>
    <row r="22" spans="2:10">
      <c r="B22" s="9"/>
      <c r="G22" s="32" t="str">
        <f>'Rekenmodel (achterkant)'!H22</f>
        <v>EHBO-/kolf-/rustruimte</v>
      </c>
      <c r="H22" s="33"/>
      <c r="I22" s="11">
        <f>'Rekenmodel (achterkant)'!J22</f>
        <v>8</v>
      </c>
    </row>
    <row r="23" spans="2:10" ht="30">
      <c r="B23" s="17" t="s">
        <v>33</v>
      </c>
      <c r="C23" s="21" t="s">
        <v>69</v>
      </c>
      <c r="D23" s="44" t="s">
        <v>70</v>
      </c>
      <c r="G23" s="32" t="str">
        <f>'Rekenmodel (achterkant)'!H23</f>
        <v>Toiletten leerlingen</v>
      </c>
      <c r="H23" s="33"/>
      <c r="I23" s="11">
        <f>'Rekenmodel (achterkant)'!J23</f>
        <v>15</v>
      </c>
    </row>
    <row r="24" spans="2:10">
      <c r="B24" s="9"/>
      <c r="G24" s="32" t="str">
        <f>'Rekenmodel (achterkant)'!H24</f>
        <v>Toiletten personeel</v>
      </c>
      <c r="H24" s="33"/>
      <c r="I24" s="11">
        <f>'Rekenmodel (achterkant)'!J24</f>
        <v>2.5</v>
      </c>
    </row>
    <row r="25" spans="2:10">
      <c r="B25" s="17" t="s">
        <v>71</v>
      </c>
      <c r="G25" s="32" t="str">
        <f>'Rekenmodel (achterkant)'!H25</f>
        <v>Toiletten openbaar</v>
      </c>
      <c r="H25" s="33"/>
      <c r="I25" s="11">
        <f>'Rekenmodel (achterkant)'!J25</f>
        <v>8</v>
      </c>
    </row>
    <row r="26" spans="2:10">
      <c r="B26" s="18" t="s">
        <v>72</v>
      </c>
      <c r="C26" s="5" t="s">
        <v>73</v>
      </c>
      <c r="D26" s="44" t="s">
        <v>47</v>
      </c>
      <c r="G26" s="32" t="str">
        <f>'Rekenmodel (achterkant)'!H26</f>
        <v>Spreekruimten</v>
      </c>
      <c r="H26" s="33"/>
      <c r="I26" s="11">
        <f>'Rekenmodel (achterkant)'!J26</f>
        <v>36</v>
      </c>
    </row>
    <row r="27" spans="2:10" ht="30">
      <c r="B27" s="13"/>
      <c r="C27" s="14" t="s">
        <v>74</v>
      </c>
      <c r="D27" s="44" t="s">
        <v>75</v>
      </c>
      <c r="I27" t="s">
        <v>76</v>
      </c>
    </row>
    <row r="28" spans="2:10">
      <c r="B28" s="19" t="s">
        <v>77</v>
      </c>
      <c r="C28" s="14" t="s">
        <v>78</v>
      </c>
      <c r="D28" s="45" t="s">
        <v>47</v>
      </c>
      <c r="G28" s="32" t="str">
        <f>'Rekenmodel (achterkant)'!H28</f>
        <v>Totale oppervlakte gemaakte keuzes</v>
      </c>
      <c r="H28" s="34">
        <f>'Rekenmodel (achterkant)'!I28</f>
        <v>905.5</v>
      </c>
    </row>
    <row r="29" spans="2:10">
      <c r="B29" s="18" t="s">
        <v>9</v>
      </c>
      <c r="C29" s="14" t="s">
        <v>79</v>
      </c>
      <c r="D29" s="77">
        <f>'Rekenmodel (achterkant)'!C71</f>
        <v>3</v>
      </c>
      <c r="G29" s="32" t="s">
        <v>80</v>
      </c>
      <c r="H29" s="33"/>
      <c r="I29" s="11">
        <f>H8-H28</f>
        <v>79.539999999999964</v>
      </c>
      <c r="J29" t="str">
        <f>IF(I29&gt;0,"U kunt meer m² verdelen",
 IF(I29=0,"U heeft alle m² verdeeld",
 "Verdeel minder m²"))</f>
        <v>U kunt meer m² verdelen</v>
      </c>
    </row>
    <row r="30" spans="2:10">
      <c r="B30" s="76"/>
      <c r="C30" s="14" t="s">
        <v>81</v>
      </c>
      <c r="D30" s="43" t="s">
        <v>47</v>
      </c>
      <c r="E30" s="43"/>
    </row>
    <row r="31" spans="2:10">
      <c r="B31" s="13"/>
      <c r="C31" s="14" t="s">
        <v>82</v>
      </c>
      <c r="D31" s="44" t="s">
        <v>83</v>
      </c>
    </row>
    <row r="32" spans="2:10">
      <c r="B32" s="18" t="s">
        <v>15</v>
      </c>
      <c r="C32" s="14" t="s">
        <v>84</v>
      </c>
      <c r="D32" s="44">
        <v>1</v>
      </c>
    </row>
    <row r="33" spans="2:5" ht="30">
      <c r="B33" s="20"/>
      <c r="C33" s="21" t="s">
        <v>85</v>
      </c>
      <c r="D33" s="44" t="s">
        <v>86</v>
      </c>
    </row>
    <row r="34" spans="2:5">
      <c r="B34" s="22" t="s">
        <v>16</v>
      </c>
      <c r="C34" s="23" t="s">
        <v>87</v>
      </c>
      <c r="D34" s="44" t="s">
        <v>47</v>
      </c>
    </row>
    <row r="35" spans="2:5">
      <c r="B35" s="22" t="s">
        <v>17</v>
      </c>
      <c r="C35" s="23" t="s">
        <v>88</v>
      </c>
      <c r="D35" s="44" t="s">
        <v>47</v>
      </c>
    </row>
    <row r="36" spans="2:5">
      <c r="B36" s="22" t="s">
        <v>27</v>
      </c>
      <c r="C36" s="23" t="s">
        <v>89</v>
      </c>
      <c r="D36" s="44" t="s">
        <v>90</v>
      </c>
    </row>
    <row r="37" spans="2:5">
      <c r="B37" s="22" t="s">
        <v>18</v>
      </c>
      <c r="C37" s="23" t="s">
        <v>91</v>
      </c>
      <c r="D37" s="44" t="s">
        <v>70</v>
      </c>
    </row>
    <row r="38" spans="2:5">
      <c r="B38" s="24" t="s">
        <v>13</v>
      </c>
      <c r="C38" s="23" t="s">
        <v>92</v>
      </c>
      <c r="D38" s="44" t="s">
        <v>70</v>
      </c>
    </row>
    <row r="39" spans="2:5">
      <c r="B39" s="24" t="s">
        <v>12</v>
      </c>
      <c r="C39" s="10" t="s">
        <v>93</v>
      </c>
      <c r="D39" s="77">
        <f>'Rekenmodel (achterkant)'!C119</f>
        <v>3</v>
      </c>
    </row>
    <row r="40" spans="2:5">
      <c r="B40" s="76"/>
      <c r="C40" s="14" t="s">
        <v>94</v>
      </c>
      <c r="D40" s="43" t="s">
        <v>47</v>
      </c>
      <c r="E40" s="43"/>
    </row>
    <row r="41" spans="2:5">
      <c r="B41" s="20"/>
      <c r="C41" s="75" t="s">
        <v>95</v>
      </c>
      <c r="D41" s="44" t="s">
        <v>96</v>
      </c>
    </row>
  </sheetData>
  <sheetProtection algorithmName="SHA-512" hashValue="CvrF3cBnKXlXcpTRn9mNQQvYWx1IDiSVGWifQzxTHPTFNWtx5fy3mGEN9biRE4lkPJZE1t2d8EM5W5FyI5JRKQ==" saltValue="hMO6UmMmbtBQohcDdOyPnQ==" spinCount="100000" sheet="1" objects="1" scenarios="1" selectLockedCells="1"/>
  <mergeCells count="1">
    <mergeCell ref="D6:E6"/>
  </mergeCells>
  <conditionalFormatting sqref="D15:D17">
    <cfRule type="expression" dxfId="9" priority="24">
      <formula>NOT(OR(    AND($E15="Cluster gekozen",D15&lt;&gt;"",$E$14=$D$14),    AND($E15="Cluster niet gekozen",D15="") ))</formula>
    </cfRule>
    <cfRule type="expression" dxfId="8" priority="25">
      <formula>OR(    AND($E15="Cluster gekozen",D15&lt;&gt;"",$E$14=$D$14),    AND($E15="Cluster niet gekozen",D15="") )</formula>
    </cfRule>
  </conditionalFormatting>
  <conditionalFormatting sqref="E14">
    <cfRule type="cellIs" dxfId="7" priority="6" operator="notEqual">
      <formula>$D$14</formula>
    </cfRule>
    <cfRule type="cellIs" dxfId="6" priority="7" operator="equal">
      <formula>$D$14</formula>
    </cfRule>
  </conditionalFormatting>
  <conditionalFormatting sqref="I29">
    <cfRule type="expression" dxfId="5" priority="1">
      <formula>I29&gt;0</formula>
    </cfRule>
    <cfRule type="expression" dxfId="4" priority="2">
      <formula>I29=0</formula>
    </cfRule>
    <cfRule type="expression" dxfId="3" priority="3">
      <formula>I29&lt;0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122F85B2-5025-409E-BEB8-F93FBC3C2E30}">
          <x14:formula1>
            <xm:f>Dropdowns!$C$3:$C$4</xm:f>
          </x14:formula1>
          <xm:sqref>D5 D30 D40</xm:sqref>
        </x14:dataValidation>
        <x14:dataValidation type="list" allowBlank="1" showInputMessage="1" showErrorMessage="1" xr:uid="{641E3859-CD97-483C-A1D1-BE4632C92227}">
          <x14:formula1>
            <xm:f>Dropdowns!$C$8:$C$11</xm:f>
          </x14:formula1>
          <xm:sqref>D6</xm:sqref>
        </x14:dataValidation>
        <x14:dataValidation type="list" allowBlank="1" showInputMessage="1" showErrorMessage="1" xr:uid="{7554D576-07D6-4ABE-8F37-07373E0A82A6}">
          <x14:formula1>
            <xm:f>Dropdowns!$C$14:$C$20</xm:f>
          </x14:formula1>
          <xm:sqref>D10</xm:sqref>
        </x14:dataValidation>
        <x14:dataValidation type="list" allowBlank="1" showInputMessage="1" showErrorMessage="1" xr:uid="{2065741E-FD94-47D8-8DAD-114C389D28C5}">
          <x14:formula1>
            <xm:f>Dropdowns!$C$23:$C$26</xm:f>
          </x14:formula1>
          <xm:sqref>D19</xm:sqref>
        </x14:dataValidation>
        <x14:dataValidation type="list" allowBlank="1" showInputMessage="1" showErrorMessage="1" xr:uid="{014C8ADD-F8DF-473C-96A9-54A968546626}">
          <x14:formula1>
            <xm:f>Dropdowns!$C$3:$C$5</xm:f>
          </x14:formula1>
          <xm:sqref>D23 D26 D28 D34:D35 D37:D38</xm:sqref>
        </x14:dataValidation>
        <x14:dataValidation type="list" allowBlank="1" showInputMessage="1" showErrorMessage="1" xr:uid="{CD6FB441-37A2-443D-A309-BA2F17612320}">
          <x14:formula1>
            <xm:f>Dropdowns!$C$68:$C$88</xm:f>
          </x14:formula1>
          <xm:sqref>D21</xm:sqref>
        </x14:dataValidation>
        <x14:dataValidation type="list" allowBlank="1" showInputMessage="1" showErrorMessage="1" xr:uid="{CA0DE7AF-92AC-461E-9920-47EFB4ACA95F}">
          <x14:formula1>
            <xm:f>Dropdowns!$C$36:$C$39</xm:f>
          </x14:formula1>
          <xm:sqref>D27</xm:sqref>
        </x14:dataValidation>
        <x14:dataValidation type="list" allowBlank="1" showInputMessage="1" showErrorMessage="1" xr:uid="{7AF1F668-F78A-4021-9ED8-9BE25931C236}">
          <x14:formula1>
            <xm:f>Dropdowns!$C$42:$C$43</xm:f>
          </x14:formula1>
          <xm:sqref>D31</xm:sqref>
        </x14:dataValidation>
        <x14:dataValidation type="list" allowBlank="1" showInputMessage="1" showErrorMessage="1" xr:uid="{E3584715-86E2-4FA5-B970-F235C3C29CBD}">
          <x14:formula1>
            <xm:f>Dropdowns!$C$47:$C$50</xm:f>
          </x14:formula1>
          <xm:sqref>D33</xm:sqref>
        </x14:dataValidation>
        <x14:dataValidation type="list" allowBlank="1" showInputMessage="1" showErrorMessage="1" xr:uid="{470B769C-83F5-42C1-8D7E-61800A9D4B17}">
          <x14:formula1>
            <xm:f>Dropdowns!$C$53:$C$55</xm:f>
          </x14:formula1>
          <xm:sqref>D36</xm:sqref>
        </x14:dataValidation>
        <x14:dataValidation type="list" allowBlank="1" showInputMessage="1" showErrorMessage="1" xr:uid="{BDB69646-BFB5-4FB3-AC02-D57A3F8BA5D1}">
          <x14:formula1>
            <xm:f>Dropdowns!$C$64:$C$65</xm:f>
          </x14:formula1>
          <xm:sqref>D41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BBCB-8909-44DB-BE15-05FDBDA82274}">
  <dimension ref="B3:K123"/>
  <sheetViews>
    <sheetView showGridLines="0" topLeftCell="A31" workbookViewId="0">
      <selection activeCell="C4" sqref="C4"/>
    </sheetView>
  </sheetViews>
  <sheetFormatPr defaultRowHeight="15"/>
  <cols>
    <col min="2" max="2" width="53.7109375" bestFit="1" customWidth="1"/>
    <col min="3" max="3" width="19.140625" bestFit="1" customWidth="1"/>
    <col min="4" max="4" width="16.5703125" bestFit="1" customWidth="1"/>
    <col min="8" max="8" width="54" bestFit="1" customWidth="1"/>
    <col min="9" max="9" width="8.7109375" bestFit="1" customWidth="1"/>
    <col min="10" max="10" width="8" bestFit="1" customWidth="1"/>
  </cols>
  <sheetData>
    <row r="3" spans="2:10">
      <c r="B3" s="35" t="s">
        <v>39</v>
      </c>
      <c r="C3" s="35" t="s">
        <v>97</v>
      </c>
      <c r="D3" s="35" t="s">
        <v>98</v>
      </c>
      <c r="H3" s="1" t="s">
        <v>99</v>
      </c>
    </row>
    <row r="4" spans="2:10">
      <c r="B4" s="5" t="s">
        <v>100</v>
      </c>
      <c r="C4" s="46">
        <v>5.03</v>
      </c>
      <c r="D4" s="36">
        <v>5.03</v>
      </c>
      <c r="H4" s="5" t="s">
        <v>39</v>
      </c>
      <c r="I4" s="5">
        <f>'Rekenmodel (achterkant)'!C8</f>
        <v>1407.2</v>
      </c>
    </row>
    <row r="5" spans="2:10">
      <c r="B5" s="5" t="s">
        <v>101</v>
      </c>
      <c r="C5" s="46">
        <v>200</v>
      </c>
      <c r="D5" s="36">
        <v>200</v>
      </c>
      <c r="H5" s="5" t="s">
        <v>102</v>
      </c>
      <c r="I5" s="39">
        <f>0.1</f>
        <v>0.1</v>
      </c>
      <c r="J5" s="37">
        <f>I5*I4</f>
        <v>140.72</v>
      </c>
    </row>
    <row r="6" spans="2:10">
      <c r="B6" s="5" t="s">
        <v>103</v>
      </c>
      <c r="C6" s="36">
        <f>Vragenlijst!D4</f>
        <v>240</v>
      </c>
      <c r="H6" s="5" t="s">
        <v>104</v>
      </c>
      <c r="I6" s="39">
        <f>0.2</f>
        <v>0.2</v>
      </c>
      <c r="J6" s="37">
        <f>I6*I4</f>
        <v>281.44</v>
      </c>
    </row>
    <row r="7" spans="2:10">
      <c r="B7" s="5" t="s">
        <v>105</v>
      </c>
      <c r="C7" s="36">
        <f>IF(C6=0,0,C6*C4+C5)</f>
        <v>1407.2</v>
      </c>
    </row>
    <row r="8" spans="2:10">
      <c r="B8" s="5" t="s">
        <v>106</v>
      </c>
      <c r="C8" s="36">
        <f>IF(C6=0,0,IF(Vragenlijst!D5="Ja",Vragenlijst!E5,C7))</f>
        <v>1407.2</v>
      </c>
      <c r="H8" s="22" t="s">
        <v>52</v>
      </c>
      <c r="I8" s="37">
        <f>I4-J5-J6</f>
        <v>985.04</v>
      </c>
    </row>
    <row r="9" spans="2:10">
      <c r="C9" s="7"/>
      <c r="H9" s="41" t="s">
        <v>53</v>
      </c>
      <c r="I9" s="42"/>
      <c r="J9" s="40">
        <f>IFERROR(C20,0)</f>
        <v>512</v>
      </c>
    </row>
    <row r="10" spans="2:10">
      <c r="B10" s="26" t="s">
        <v>107</v>
      </c>
      <c r="C10" s="35" t="s">
        <v>97</v>
      </c>
      <c r="D10" s="35" t="s">
        <v>98</v>
      </c>
      <c r="H10" s="41" t="s">
        <v>56</v>
      </c>
      <c r="I10" s="42"/>
      <c r="J10" s="3">
        <f>IFERROR(C33,0)</f>
        <v>24</v>
      </c>
    </row>
    <row r="11" spans="2:10">
      <c r="B11" s="5" t="s">
        <v>108</v>
      </c>
      <c r="C11" s="46">
        <v>30</v>
      </c>
      <c r="D11" s="36">
        <v>30</v>
      </c>
      <c r="H11" s="41" t="str">
        <f>IF(C40="Altijd inbegrepen","Centrale ontmoetingsruimte incl. podium","Centrale ontmoetingsruimte")</f>
        <v>Centrale ontmoetingsruimte incl. podium</v>
      </c>
      <c r="I11" s="42"/>
      <c r="J11" s="3">
        <f>IFERROR(C42,0)</f>
        <v>78</v>
      </c>
    </row>
    <row r="12" spans="2:10">
      <c r="B12" s="5" t="s">
        <v>109</v>
      </c>
      <c r="C12" s="36">
        <f>ROUNDUP(C6/C11,0)</f>
        <v>8</v>
      </c>
      <c r="H12" s="41" t="s">
        <v>67</v>
      </c>
      <c r="I12" s="42"/>
      <c r="J12" s="3">
        <f>IFERROR(C50,0)</f>
        <v>88</v>
      </c>
    </row>
    <row r="13" spans="2:10">
      <c r="B13" s="5" t="s">
        <v>110</v>
      </c>
      <c r="C13" s="36">
        <f>Vragenlijst!D10</f>
        <v>0</v>
      </c>
      <c r="H13" s="41" t="s">
        <v>111</v>
      </c>
      <c r="I13" s="42"/>
      <c r="J13" s="3">
        <f>IFERROR(IF(C58="Ja",C59,0),0)</f>
        <v>90</v>
      </c>
    </row>
    <row r="14" spans="2:10">
      <c r="B14" s="5" t="s">
        <v>57</v>
      </c>
      <c r="C14" s="36">
        <f>C13+C12</f>
        <v>8</v>
      </c>
      <c r="H14" s="41" t="s">
        <v>7</v>
      </c>
      <c r="I14" s="42"/>
      <c r="J14" s="3">
        <f>IFERROR(IF(C62="Ja",C64,0),0)</f>
        <v>0</v>
      </c>
    </row>
    <row r="15" spans="2:10">
      <c r="B15" s="6"/>
      <c r="C15" s="7"/>
      <c r="H15" s="41" t="s">
        <v>112</v>
      </c>
      <c r="I15" s="42"/>
      <c r="J15" s="3">
        <f>IFERROR(IF(C67="Ja",C68,0),0)</f>
        <v>0</v>
      </c>
    </row>
    <row r="16" spans="2:10">
      <c r="B16" s="35" t="s">
        <v>113</v>
      </c>
      <c r="C16" s="35" t="s">
        <v>97</v>
      </c>
      <c r="D16" s="35" t="s">
        <v>98</v>
      </c>
      <c r="H16" s="41" t="s">
        <v>9</v>
      </c>
      <c r="I16" s="42"/>
      <c r="J16" s="3">
        <f>IFERROR(C76,)</f>
        <v>24</v>
      </c>
    </row>
    <row r="17" spans="2:11">
      <c r="B17" s="5" t="s">
        <v>100</v>
      </c>
      <c r="C17" s="46">
        <v>2</v>
      </c>
      <c r="D17" s="36">
        <v>2</v>
      </c>
      <c r="H17" s="41" t="s">
        <v>15</v>
      </c>
      <c r="I17" s="42"/>
      <c r="J17" s="3">
        <f>IFERROR(C79*C81,)</f>
        <v>8</v>
      </c>
    </row>
    <row r="18" spans="2:11">
      <c r="B18" s="5" t="s">
        <v>114</v>
      </c>
      <c r="C18" s="46">
        <v>4</v>
      </c>
      <c r="D18" s="36">
        <v>4</v>
      </c>
      <c r="H18" s="41" t="s">
        <v>16</v>
      </c>
      <c r="I18" s="42"/>
      <c r="J18" s="3">
        <f>IFERROR(IF(C84="Ja",C85,0),0)</f>
        <v>0</v>
      </c>
    </row>
    <row r="19" spans="2:11">
      <c r="B19" s="5" t="s">
        <v>113</v>
      </c>
      <c r="C19" s="36">
        <f>C11*C17+C18</f>
        <v>64</v>
      </c>
      <c r="H19" s="41" t="s">
        <v>17</v>
      </c>
      <c r="I19" s="42"/>
      <c r="J19" s="3">
        <f>IFERROR(IF(C88="Ja",C89,0),0)</f>
        <v>0</v>
      </c>
    </row>
    <row r="20" spans="2:11">
      <c r="B20" s="5" t="s">
        <v>115</v>
      </c>
      <c r="C20" s="36">
        <f>C19*C14</f>
        <v>512</v>
      </c>
      <c r="H20" s="41" t="s">
        <v>27</v>
      </c>
      <c r="I20" s="42"/>
      <c r="J20" s="3">
        <f>IFERROR(C93*C45,0)</f>
        <v>6</v>
      </c>
    </row>
    <row r="21" spans="2:11">
      <c r="C21" s="7"/>
      <c r="H21" s="41" t="s">
        <v>18</v>
      </c>
      <c r="I21" s="42"/>
      <c r="J21" s="3">
        <f>IFERROR(IF(C96="Ja",C97,0),0)</f>
        <v>6</v>
      </c>
    </row>
    <row r="22" spans="2:11">
      <c r="B22" s="26" t="s">
        <v>116</v>
      </c>
      <c r="C22" s="35" t="s">
        <v>97</v>
      </c>
      <c r="H22" s="41" t="s">
        <v>13</v>
      </c>
      <c r="I22" s="42"/>
      <c r="J22" s="3">
        <f>IFERROR(IF(C100="Ja",C101,0),0)</f>
        <v>8</v>
      </c>
    </row>
    <row r="23" spans="2:11">
      <c r="B23" s="5" t="s">
        <v>117</v>
      </c>
      <c r="C23" s="36" t="str">
        <f>Vragenlijst!D6</f>
        <v>2 clusters OB+BB</v>
      </c>
      <c r="H23" s="41" t="s">
        <v>20</v>
      </c>
      <c r="I23" s="42"/>
      <c r="J23" s="3">
        <f>IFERROR(C108,)</f>
        <v>15</v>
      </c>
    </row>
    <row r="24" spans="2:11">
      <c r="B24" s="5" t="s">
        <v>118</v>
      </c>
      <c r="C24" s="36">
        <f>Vragenlijst!D15</f>
        <v>4</v>
      </c>
      <c r="H24" s="41" t="s">
        <v>119</v>
      </c>
      <c r="I24" s="42"/>
      <c r="J24" s="3">
        <f>IFERROR(C113,0)</f>
        <v>2.5</v>
      </c>
    </row>
    <row r="25" spans="2:11">
      <c r="B25" s="5" t="s">
        <v>120</v>
      </c>
      <c r="C25" s="36">
        <f>Vragenlijst!D16</f>
        <v>0</v>
      </c>
      <c r="H25" s="41" t="s">
        <v>22</v>
      </c>
      <c r="I25" s="42"/>
      <c r="J25" s="3">
        <f>IFERROR(C116,0)</f>
        <v>8</v>
      </c>
    </row>
    <row r="26" spans="2:11">
      <c r="B26" s="5" t="s">
        <v>121</v>
      </c>
      <c r="C26" s="36">
        <f>Vragenlijst!D17</f>
        <v>4</v>
      </c>
      <c r="H26" s="41" t="s">
        <v>12</v>
      </c>
      <c r="I26" s="42"/>
      <c r="J26" s="3">
        <f>IFERROR(C123,0)</f>
        <v>36</v>
      </c>
    </row>
    <row r="27" spans="2:11">
      <c r="B27" s="5" t="s">
        <v>24</v>
      </c>
      <c r="C27" s="36">
        <f>IF(C23="1 cluster",Vragenlijst!D14,0)</f>
        <v>0</v>
      </c>
      <c r="J27" t="s">
        <v>76</v>
      </c>
    </row>
    <row r="28" spans="2:11">
      <c r="B28" s="5" t="s">
        <v>122</v>
      </c>
      <c r="C28" s="36">
        <f>MAX(C24:C27)</f>
        <v>4</v>
      </c>
      <c r="H28" s="22" t="s">
        <v>123</v>
      </c>
      <c r="I28" s="37">
        <f>SUM(J9:J26)</f>
        <v>905.5</v>
      </c>
    </row>
    <row r="29" spans="2:11">
      <c r="C29" s="7"/>
      <c r="H29" s="38"/>
      <c r="I29" s="29">
        <f>'Rekenmodel (achterkant)'!J29</f>
        <v>0</v>
      </c>
    </row>
    <row r="30" spans="2:11">
      <c r="B30" s="26" t="s">
        <v>56</v>
      </c>
      <c r="C30" s="35" t="s">
        <v>97</v>
      </c>
      <c r="D30" s="35" t="s">
        <v>98</v>
      </c>
      <c r="H30" s="28" t="s">
        <v>80</v>
      </c>
      <c r="I30" s="28"/>
      <c r="J30" s="27">
        <f>I8-I28</f>
        <v>79.539999999999964</v>
      </c>
      <c r="K30" t="str">
        <f>IF(J30&gt;0,"U kunt meer m² verdelen",
 IF(J30=0,"U heeft alle m² verdeeld",
 "Verdeel minder m²"))</f>
        <v>U kunt meer m² verdelen</v>
      </c>
    </row>
    <row r="31" spans="2:11">
      <c r="B31" s="5" t="s">
        <v>124</v>
      </c>
      <c r="C31" s="46">
        <v>2</v>
      </c>
      <c r="D31" s="36">
        <v>2</v>
      </c>
    </row>
    <row r="32" spans="2:11">
      <c r="B32" s="5" t="s">
        <v>125</v>
      </c>
      <c r="C32" s="36">
        <f>Vragenlijst!D7</f>
        <v>12</v>
      </c>
    </row>
    <row r="33" spans="2:4">
      <c r="B33" s="5" t="s">
        <v>126</v>
      </c>
      <c r="C33" s="36">
        <f>C32*C31</f>
        <v>24</v>
      </c>
    </row>
    <row r="34" spans="2:4">
      <c r="C34" s="7"/>
    </row>
    <row r="35" spans="2:4">
      <c r="B35" s="26" t="s">
        <v>64</v>
      </c>
      <c r="C35" s="35" t="s">
        <v>97</v>
      </c>
      <c r="D35" s="26" t="s">
        <v>98</v>
      </c>
    </row>
    <row r="36" spans="2:4">
      <c r="B36" s="5" t="s">
        <v>127</v>
      </c>
      <c r="C36" s="36" t="str">
        <f>Vragenlijst!D19</f>
        <v>Hele cluster</v>
      </c>
    </row>
    <row r="37" spans="2:4">
      <c r="B37" s="5" t="s">
        <v>128</v>
      </c>
      <c r="C37" s="46">
        <v>0.5</v>
      </c>
      <c r="D37" s="36">
        <v>0.5</v>
      </c>
    </row>
    <row r="38" spans="2:4">
      <c r="B38" s="5" t="s">
        <v>129</v>
      </c>
      <c r="C38" s="36">
        <f>IF(C36="Hele klas",C11+1,
 IF(C36="Hele cluster",(C28*C11)+C28,
 IF(C36="Hele school",C6+C32,"")))</f>
        <v>124</v>
      </c>
    </row>
    <row r="39" spans="2:4">
      <c r="B39" s="5" t="s">
        <v>130</v>
      </c>
      <c r="C39" s="36">
        <f>IFERROR(C38*C37,0)</f>
        <v>62</v>
      </c>
    </row>
    <row r="40" spans="2:4">
      <c r="B40" s="5" t="s">
        <v>131</v>
      </c>
      <c r="C40" s="36" t="s">
        <v>132</v>
      </c>
    </row>
    <row r="41" spans="2:4">
      <c r="B41" s="5" t="s">
        <v>133</v>
      </c>
      <c r="C41" s="46">
        <v>16</v>
      </c>
      <c r="D41" s="36">
        <v>16</v>
      </c>
    </row>
    <row r="42" spans="2:4">
      <c r="B42" s="5" t="s">
        <v>134</v>
      </c>
      <c r="C42" s="36">
        <f>IF(C40="Altijd inbegrepen",C41+C39,C39)</f>
        <v>78</v>
      </c>
    </row>
    <row r="43" spans="2:4">
      <c r="C43" s="7"/>
    </row>
    <row r="44" spans="2:4">
      <c r="B44" s="26" t="s">
        <v>135</v>
      </c>
      <c r="C44" s="35" t="s">
        <v>97</v>
      </c>
    </row>
    <row r="45" spans="2:4">
      <c r="B45" s="5" t="s">
        <v>136</v>
      </c>
      <c r="C45" s="36" t="str">
        <f>LEFT(C23,1)</f>
        <v>2</v>
      </c>
    </row>
    <row r="46" spans="2:4">
      <c r="B46" s="5" t="s">
        <v>137</v>
      </c>
      <c r="C46" s="74">
        <f>Vragenlijst!D21</f>
        <v>0.3</v>
      </c>
    </row>
    <row r="47" spans="2:4">
      <c r="B47" s="5" t="s">
        <v>138</v>
      </c>
      <c r="C47" s="36">
        <f>(Vragenlijst!D15*C11)*C46</f>
        <v>36</v>
      </c>
    </row>
    <row r="48" spans="2:4">
      <c r="B48" s="5" t="s">
        <v>139</v>
      </c>
      <c r="C48" s="36">
        <f>(Vragenlijst!D16*'Rekenmodel (achterkant)'!C11*'Rekenmodel (achterkant)'!C46)</f>
        <v>0</v>
      </c>
    </row>
    <row r="49" spans="2:4">
      <c r="B49" s="5" t="s">
        <v>140</v>
      </c>
      <c r="C49" s="36">
        <f>Vragenlijst!D17*'Rekenmodel (achterkant)'!C11*'Rekenmodel (achterkant)'!C46</f>
        <v>36</v>
      </c>
    </row>
    <row r="50" spans="2:4">
      <c r="B50" s="5" t="s">
        <v>141</v>
      </c>
      <c r="C50" s="36">
        <f>C47*C17+(C24*C18)</f>
        <v>88</v>
      </c>
    </row>
    <row r="51" spans="2:4">
      <c r="B51" s="76" t="s">
        <v>142</v>
      </c>
      <c r="C51" s="36">
        <f>C48*C17+(C25*C18)</f>
        <v>0</v>
      </c>
    </row>
    <row r="52" spans="2:4">
      <c r="B52" s="76" t="s">
        <v>143</v>
      </c>
      <c r="C52">
        <f>C49*C17+(C26*C18)</f>
        <v>88</v>
      </c>
    </row>
    <row r="53" spans="2:4">
      <c r="B53" s="76" t="s">
        <v>144</v>
      </c>
    </row>
    <row r="57" spans="2:4">
      <c r="B57" s="26" t="s">
        <v>33</v>
      </c>
      <c r="C57" s="35" t="s">
        <v>97</v>
      </c>
      <c r="D57" s="26" t="s">
        <v>98</v>
      </c>
    </row>
    <row r="58" spans="2:4">
      <c r="B58" s="5" t="s">
        <v>145</v>
      </c>
      <c r="C58" s="36" t="str">
        <f>Vragenlijst!D23</f>
        <v>Ja</v>
      </c>
    </row>
    <row r="59" spans="2:4">
      <c r="B59" s="5" t="s">
        <v>34</v>
      </c>
      <c r="C59" s="46">
        <v>90</v>
      </c>
      <c r="D59" s="36">
        <v>90</v>
      </c>
    </row>
    <row r="61" spans="2:4">
      <c r="B61" s="26" t="s">
        <v>7</v>
      </c>
      <c r="C61" s="35" t="s">
        <v>97</v>
      </c>
    </row>
    <row r="62" spans="2:4">
      <c r="B62" s="5" t="s">
        <v>146</v>
      </c>
      <c r="C62" s="36" t="str">
        <f>Vragenlijst!D26</f>
        <v>Nee</v>
      </c>
    </row>
    <row r="63" spans="2:4">
      <c r="B63" s="5" t="s">
        <v>127</v>
      </c>
      <c r="C63" s="36" t="str">
        <f>Vragenlijst!D27</f>
        <v>Kwart klas</v>
      </c>
    </row>
    <row r="64" spans="2:4">
      <c r="B64" s="5" t="s">
        <v>147</v>
      </c>
      <c r="C64" s="36">
        <f>IF(C63="Kwart klas",0.25*C19,
 IF(C63="Halve klas",0.5*C19,
 IF(C63="Hele klas",1*C19,"")))</f>
        <v>16</v>
      </c>
    </row>
    <row r="66" spans="2:4">
      <c r="B66" s="26" t="s">
        <v>148</v>
      </c>
      <c r="C66" s="35" t="s">
        <v>97</v>
      </c>
      <c r="D66" s="26" t="s">
        <v>98</v>
      </c>
    </row>
    <row r="67" spans="2:4">
      <c r="B67" s="5" t="s">
        <v>149</v>
      </c>
      <c r="C67" s="36" t="str">
        <f>Vragenlijst!D28</f>
        <v>Nee</v>
      </c>
    </row>
    <row r="68" spans="2:4">
      <c r="B68" s="5" t="s">
        <v>150</v>
      </c>
      <c r="C68" s="46">
        <v>64</v>
      </c>
      <c r="D68" s="36">
        <v>64</v>
      </c>
    </row>
    <row r="70" spans="2:4">
      <c r="B70" s="26" t="s">
        <v>9</v>
      </c>
      <c r="C70" s="35" t="s">
        <v>97</v>
      </c>
    </row>
    <row r="71" spans="2:4">
      <c r="B71" s="5" t="s">
        <v>151</v>
      </c>
      <c r="C71" s="36">
        <f>IF(C6=0,"",IF(C6&lt;=200,2,IF(C6&lt;=350,3,4)))</f>
        <v>3</v>
      </c>
    </row>
    <row r="72" spans="2:4">
      <c r="B72" s="5" t="s">
        <v>152</v>
      </c>
      <c r="C72" s="36" t="str">
        <f>Vragenlijst!D30</f>
        <v>Nee</v>
      </c>
    </row>
    <row r="73" spans="2:4">
      <c r="B73" s="5" t="s">
        <v>153</v>
      </c>
      <c r="C73" s="36">
        <f>IF(C72="Ja",Vragenlijst!E30,'Rekenmodel (achterkant)'!C71)</f>
        <v>3</v>
      </c>
    </row>
    <row r="74" spans="2:4">
      <c r="B74" s="5" t="s">
        <v>127</v>
      </c>
      <c r="C74" s="36" t="str">
        <f>Vragenlijst!D31</f>
        <v>Basis (8m²)</v>
      </c>
    </row>
    <row r="75" spans="2:4">
      <c r="B75" s="5" t="s">
        <v>154</v>
      </c>
      <c r="C75" s="36">
        <f>IF(C74="Basis (8m²)",8,16)</f>
        <v>8</v>
      </c>
    </row>
    <row r="76" spans="2:4">
      <c r="B76" s="5" t="s">
        <v>155</v>
      </c>
      <c r="C76" s="36">
        <f>IFERROR(C75*C73,0)</f>
        <v>24</v>
      </c>
    </row>
    <row r="78" spans="2:4">
      <c r="B78" s="26" t="s">
        <v>15</v>
      </c>
      <c r="C78" s="35" t="s">
        <v>97</v>
      </c>
    </row>
    <row r="79" spans="2:4">
      <c r="B79" s="5" t="s">
        <v>156</v>
      </c>
      <c r="C79" s="36">
        <f>IF(C6&gt;200,MAX(1,Vragenlijst!D32),Vragenlijst!D32)</f>
        <v>1</v>
      </c>
    </row>
    <row r="80" spans="2:4">
      <c r="B80" s="5" t="s">
        <v>127</v>
      </c>
      <c r="C80" s="36" t="str">
        <f>Vragenlijst!D33</f>
        <v>8 m² (1-2 kinderen)</v>
      </c>
    </row>
    <row r="81" spans="2:4">
      <c r="B81" s="5" t="s">
        <v>157</v>
      </c>
      <c r="C81" s="36" t="str">
        <f>LEFT(C80,2)</f>
        <v xml:space="preserve">8 </v>
      </c>
    </row>
    <row r="83" spans="2:4">
      <c r="B83" s="26" t="s">
        <v>158</v>
      </c>
      <c r="C83" s="35" t="s">
        <v>97</v>
      </c>
      <c r="D83" s="26" t="s">
        <v>98</v>
      </c>
    </row>
    <row r="84" spans="2:4">
      <c r="B84" s="5" t="s">
        <v>159</v>
      </c>
      <c r="C84" s="36" t="str">
        <f>Vragenlijst!D34</f>
        <v>Nee</v>
      </c>
    </row>
    <row r="85" spans="2:4">
      <c r="B85" s="5" t="s">
        <v>160</v>
      </c>
      <c r="C85" s="47">
        <v>12</v>
      </c>
      <c r="D85" s="36">
        <v>12</v>
      </c>
    </row>
    <row r="87" spans="2:4">
      <c r="B87" s="26" t="s">
        <v>17</v>
      </c>
      <c r="C87" s="35" t="s">
        <v>97</v>
      </c>
      <c r="D87" s="26" t="s">
        <v>98</v>
      </c>
    </row>
    <row r="88" spans="2:4">
      <c r="B88" s="5" t="s">
        <v>159</v>
      </c>
      <c r="C88" s="36" t="str">
        <f>Vragenlijst!D35</f>
        <v>Nee</v>
      </c>
    </row>
    <row r="89" spans="2:4">
      <c r="B89" s="5" t="s">
        <v>160</v>
      </c>
      <c r="C89" s="47">
        <v>6</v>
      </c>
      <c r="D89" s="36">
        <v>6</v>
      </c>
    </row>
    <row r="91" spans="2:4">
      <c r="B91" s="26" t="s">
        <v>27</v>
      </c>
      <c r="C91" s="35" t="s">
        <v>97</v>
      </c>
    </row>
    <row r="92" spans="2:4">
      <c r="B92" s="5" t="s">
        <v>161</v>
      </c>
      <c r="C92" s="36" t="str">
        <f>Vragenlijst!D36</f>
        <v>Basis (3m²)</v>
      </c>
    </row>
    <row r="93" spans="2:4">
      <c r="B93" s="5" t="s">
        <v>162</v>
      </c>
      <c r="C93" s="36">
        <f>IF(C92="Basis (3m²)",3,
 IF(C92="Middel (6m²)",6,
 IF(C92="Groot (12m²)",12,"")))</f>
        <v>3</v>
      </c>
    </row>
    <row r="95" spans="2:4">
      <c r="B95" s="26" t="s">
        <v>18</v>
      </c>
      <c r="C95" s="35" t="s">
        <v>97</v>
      </c>
      <c r="D95" s="26" t="s">
        <v>98</v>
      </c>
    </row>
    <row r="96" spans="2:4">
      <c r="B96" s="5" t="s">
        <v>163</v>
      </c>
      <c r="C96" s="36" t="str">
        <f>Vragenlijst!D37</f>
        <v>Ja</v>
      </c>
    </row>
    <row r="97" spans="2:4">
      <c r="B97" s="5" t="s">
        <v>164</v>
      </c>
      <c r="C97" s="47">
        <v>6</v>
      </c>
      <c r="D97" s="36">
        <v>6</v>
      </c>
    </row>
    <row r="99" spans="2:4">
      <c r="B99" s="26" t="s">
        <v>13</v>
      </c>
      <c r="C99" s="35" t="s">
        <v>97</v>
      </c>
      <c r="D99" s="26" t="s">
        <v>98</v>
      </c>
    </row>
    <row r="100" spans="2:4">
      <c r="B100" s="5" t="s">
        <v>159</v>
      </c>
      <c r="C100" s="36" t="str">
        <f>Vragenlijst!D38</f>
        <v>Ja</v>
      </c>
    </row>
    <row r="101" spans="2:4">
      <c r="B101" s="5" t="s">
        <v>164</v>
      </c>
      <c r="C101" s="47">
        <v>8</v>
      </c>
      <c r="D101" s="36">
        <v>8</v>
      </c>
    </row>
    <row r="103" spans="2:4">
      <c r="B103" s="26" t="s">
        <v>19</v>
      </c>
      <c r="C103" s="35" t="s">
        <v>97</v>
      </c>
    </row>
    <row r="104" spans="2:4">
      <c r="B104" s="5" t="s">
        <v>165</v>
      </c>
      <c r="C104" s="36">
        <v>2</v>
      </c>
    </row>
    <row r="105" spans="2:4">
      <c r="B105" s="5" t="s">
        <v>166</v>
      </c>
      <c r="C105" s="36">
        <f>C14</f>
        <v>8</v>
      </c>
    </row>
    <row r="106" spans="2:4">
      <c r="B106" s="5" t="s">
        <v>167</v>
      </c>
      <c r="C106" s="36">
        <f>ROUNDUP(C105/3*2,0)</f>
        <v>6</v>
      </c>
    </row>
    <row r="107" spans="2:4">
      <c r="B107" s="5" t="s">
        <v>168</v>
      </c>
      <c r="C107" s="36">
        <v>2.5</v>
      </c>
    </row>
    <row r="108" spans="2:4">
      <c r="B108" s="5" t="s">
        <v>169</v>
      </c>
      <c r="C108" s="36">
        <f>C106*C107</f>
        <v>15</v>
      </c>
    </row>
    <row r="109" spans="2:4">
      <c r="B109" s="5" t="s">
        <v>170</v>
      </c>
      <c r="C109" s="36">
        <v>1</v>
      </c>
    </row>
    <row r="110" spans="2:4">
      <c r="B110" s="5" t="s">
        <v>171</v>
      </c>
      <c r="C110" s="36">
        <f>C32</f>
        <v>12</v>
      </c>
    </row>
    <row r="111" spans="2:4">
      <c r="B111" s="5" t="s">
        <v>172</v>
      </c>
      <c r="C111" s="36">
        <f>ROUNDUP(C110/15,0)</f>
        <v>1</v>
      </c>
    </row>
    <row r="112" spans="2:4">
      <c r="B112" s="5" t="s">
        <v>173</v>
      </c>
      <c r="C112" s="36">
        <v>2.5</v>
      </c>
    </row>
    <row r="113" spans="2:3">
      <c r="B113" s="5" t="s">
        <v>174</v>
      </c>
      <c r="C113" s="36">
        <f>C112*C111</f>
        <v>2.5</v>
      </c>
    </row>
    <row r="114" spans="2:3">
      <c r="B114" s="5" t="s">
        <v>175</v>
      </c>
      <c r="C114" s="36">
        <f>IF(C6=0,0,ROUNDUP(C8/1000,0))</f>
        <v>2</v>
      </c>
    </row>
    <row r="115" spans="2:3">
      <c r="B115" s="5" t="s">
        <v>176</v>
      </c>
      <c r="C115" s="36">
        <v>4</v>
      </c>
    </row>
    <row r="116" spans="2:3">
      <c r="B116" s="5" t="s">
        <v>177</v>
      </c>
      <c r="C116" s="36">
        <f>C115*C114</f>
        <v>8</v>
      </c>
    </row>
    <row r="118" spans="2:3">
      <c r="B118" s="26" t="s">
        <v>12</v>
      </c>
    </row>
    <row r="119" spans="2:3">
      <c r="B119" s="5" t="s">
        <v>178</v>
      </c>
      <c r="C119" s="36">
        <f>IF(C6=0,0,IF(C6&lt;200,2,IF(C6&lt;350,3,4)))</f>
        <v>3</v>
      </c>
    </row>
    <row r="120" spans="2:3">
      <c r="B120" s="5" t="s">
        <v>179</v>
      </c>
      <c r="C120" s="36" t="str">
        <f>Vragenlijst!D40</f>
        <v>Nee</v>
      </c>
    </row>
    <row r="121" spans="2:3">
      <c r="B121" s="5" t="s">
        <v>180</v>
      </c>
      <c r="C121" s="36">
        <f>IF(C120="Ja",Vragenlijst!E40,'Rekenmodel (achterkant)'!C119)</f>
        <v>3</v>
      </c>
    </row>
    <row r="122" spans="2:3">
      <c r="B122" s="5" t="s">
        <v>127</v>
      </c>
      <c r="C122" s="36" t="str">
        <f>Vragenlijst!D41</f>
        <v>Basis (12m²)</v>
      </c>
    </row>
    <row r="123" spans="2:3">
      <c r="B123" s="5" t="s">
        <v>181</v>
      </c>
      <c r="C123" s="36">
        <f>IF(C122="Groot (24m²)",24*C121,12*C121)</f>
        <v>36</v>
      </c>
    </row>
  </sheetData>
  <sheetProtection selectLockedCells="1"/>
  <conditionalFormatting sqref="J30">
    <cfRule type="expression" dxfId="2" priority="1">
      <formula>J30&gt;0</formula>
    </cfRule>
    <cfRule type="expression" dxfId="1" priority="2">
      <formula>J30=0</formula>
    </cfRule>
    <cfRule type="expression" dxfId="0" priority="3">
      <formula>J30&lt;0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D38E-403B-4D66-97AE-F454D24868FE}">
  <dimension ref="B2:C88"/>
  <sheetViews>
    <sheetView topLeftCell="A22" workbookViewId="0">
      <selection activeCell="J78" sqref="J78"/>
    </sheetView>
  </sheetViews>
  <sheetFormatPr defaultRowHeight="15"/>
  <cols>
    <col min="2" max="2" width="18.7109375" bestFit="1" customWidth="1"/>
    <col min="3" max="3" width="19.7109375" bestFit="1" customWidth="1"/>
  </cols>
  <sheetData>
    <row r="2" spans="2:3">
      <c r="B2" s="8" t="s">
        <v>182</v>
      </c>
    </row>
    <row r="3" spans="2:3">
      <c r="B3" s="2"/>
      <c r="C3" t="s">
        <v>70</v>
      </c>
    </row>
    <row r="4" spans="2:3">
      <c r="B4" s="2"/>
      <c r="C4" t="s">
        <v>47</v>
      </c>
    </row>
    <row r="5" spans="2:3">
      <c r="B5" s="2"/>
    </row>
    <row r="7" spans="2:3">
      <c r="B7" s="1" t="s">
        <v>183</v>
      </c>
    </row>
    <row r="8" spans="2:3">
      <c r="B8" s="2"/>
      <c r="C8" t="s">
        <v>184</v>
      </c>
    </row>
    <row r="9" spans="2:3">
      <c r="B9" s="2"/>
      <c r="C9" t="s">
        <v>49</v>
      </c>
    </row>
    <row r="10" spans="2:3">
      <c r="B10" s="2"/>
      <c r="C10" t="s">
        <v>185</v>
      </c>
    </row>
    <row r="11" spans="2:3">
      <c r="B11" s="2"/>
    </row>
    <row r="13" spans="2:3">
      <c r="B13" s="1" t="s">
        <v>186</v>
      </c>
    </row>
    <row r="14" spans="2:3">
      <c r="B14" s="2"/>
      <c r="C14">
        <v>0</v>
      </c>
    </row>
    <row r="15" spans="2:3">
      <c r="B15" s="2"/>
      <c r="C15">
        <v>1</v>
      </c>
    </row>
    <row r="16" spans="2:3">
      <c r="B16" s="2"/>
      <c r="C16">
        <v>2</v>
      </c>
    </row>
    <row r="17" spans="2:3">
      <c r="B17" s="2"/>
      <c r="C17">
        <v>3</v>
      </c>
    </row>
    <row r="18" spans="2:3">
      <c r="B18" s="2"/>
      <c r="C18">
        <v>4</v>
      </c>
    </row>
    <row r="19" spans="2:3">
      <c r="B19" s="2"/>
      <c r="C19">
        <v>5</v>
      </c>
    </row>
    <row r="20" spans="2:3">
      <c r="B20" s="2"/>
    </row>
    <row r="22" spans="2:3">
      <c r="B22" s="1" t="s">
        <v>187</v>
      </c>
    </row>
    <row r="23" spans="2:3">
      <c r="B23" s="2"/>
      <c r="C23" t="s">
        <v>188</v>
      </c>
    </row>
    <row r="24" spans="2:3">
      <c r="B24" s="2"/>
      <c r="C24" t="s">
        <v>66</v>
      </c>
    </row>
    <row r="25" spans="2:3">
      <c r="B25" s="2"/>
      <c r="C25" t="s">
        <v>189</v>
      </c>
    </row>
    <row r="26" spans="2:3">
      <c r="B26" s="2"/>
    </row>
    <row r="28" spans="2:3">
      <c r="B28" s="1" t="s">
        <v>190</v>
      </c>
    </row>
    <row r="29" spans="2:3">
      <c r="B29" s="2"/>
      <c r="C29" t="s">
        <v>191</v>
      </c>
    </row>
    <row r="30" spans="2:3">
      <c r="B30" s="2"/>
      <c r="C30" t="s">
        <v>188</v>
      </c>
    </row>
    <row r="31" spans="2:3">
      <c r="B31" s="2"/>
      <c r="C31" t="s">
        <v>192</v>
      </c>
    </row>
    <row r="32" spans="2:3">
      <c r="B32" s="2"/>
    </row>
    <row r="35" spans="2:3">
      <c r="B35" s="1" t="s">
        <v>7</v>
      </c>
    </row>
    <row r="36" spans="2:3">
      <c r="B36" s="2"/>
      <c r="C36" t="s">
        <v>75</v>
      </c>
    </row>
    <row r="37" spans="2:3">
      <c r="B37" s="2"/>
      <c r="C37" t="s">
        <v>191</v>
      </c>
    </row>
    <row r="38" spans="2:3">
      <c r="B38" s="2"/>
      <c r="C38" t="s">
        <v>188</v>
      </c>
    </row>
    <row r="39" spans="2:3">
      <c r="B39" s="2"/>
    </row>
    <row r="41" spans="2:3">
      <c r="B41" s="1" t="s">
        <v>193</v>
      </c>
    </row>
    <row r="42" spans="2:3">
      <c r="B42" s="2"/>
      <c r="C42" t="s">
        <v>83</v>
      </c>
    </row>
    <row r="43" spans="2:3">
      <c r="B43" s="2"/>
      <c r="C43" t="s">
        <v>194</v>
      </c>
    </row>
    <row r="44" spans="2:3">
      <c r="B44" s="2"/>
    </row>
    <row r="46" spans="2:3">
      <c r="B46" s="1" t="s">
        <v>15</v>
      </c>
    </row>
    <row r="47" spans="2:3">
      <c r="B47" s="2"/>
      <c r="C47" t="s">
        <v>86</v>
      </c>
    </row>
    <row r="48" spans="2:3">
      <c r="B48" s="2"/>
      <c r="C48" t="s">
        <v>195</v>
      </c>
    </row>
    <row r="49" spans="2:3">
      <c r="B49" s="2"/>
      <c r="C49" t="s">
        <v>196</v>
      </c>
    </row>
    <row r="50" spans="2:3">
      <c r="B50" s="2"/>
    </row>
    <row r="52" spans="2:3">
      <c r="B52" s="1" t="s">
        <v>27</v>
      </c>
    </row>
    <row r="53" spans="2:3">
      <c r="B53" s="2"/>
      <c r="C53" t="s">
        <v>90</v>
      </c>
    </row>
    <row r="54" spans="2:3">
      <c r="B54" s="2"/>
      <c r="C54" t="s">
        <v>197</v>
      </c>
    </row>
    <row r="55" spans="2:3">
      <c r="B55" s="2"/>
      <c r="C55" t="s">
        <v>198</v>
      </c>
    </row>
    <row r="56" spans="2:3">
      <c r="B56" s="2"/>
    </row>
    <row r="58" spans="2:3">
      <c r="B58" s="1" t="s">
        <v>199</v>
      </c>
    </row>
    <row r="59" spans="2:3">
      <c r="B59" s="2"/>
      <c r="C59" t="s">
        <v>75</v>
      </c>
    </row>
    <row r="60" spans="2:3">
      <c r="B60" s="2"/>
      <c r="C60" t="s">
        <v>191</v>
      </c>
    </row>
    <row r="61" spans="2:3">
      <c r="B61" s="2"/>
      <c r="C61" t="s">
        <v>188</v>
      </c>
    </row>
    <row r="63" spans="2:3">
      <c r="B63" s="1" t="s">
        <v>12</v>
      </c>
    </row>
    <row r="64" spans="2:3">
      <c r="B64" s="2"/>
      <c r="C64" t="s">
        <v>96</v>
      </c>
    </row>
    <row r="65" spans="2:3">
      <c r="B65" s="2"/>
      <c r="C65" t="s">
        <v>200</v>
      </c>
    </row>
    <row r="67" spans="2:3">
      <c r="B67" s="1" t="s">
        <v>201</v>
      </c>
    </row>
    <row r="68" spans="2:3">
      <c r="B68" s="2"/>
      <c r="C68" s="4">
        <v>0.05</v>
      </c>
    </row>
    <row r="69" spans="2:3">
      <c r="B69" s="2"/>
      <c r="C69" s="4">
        <v>0.1</v>
      </c>
    </row>
    <row r="70" spans="2:3">
      <c r="B70" s="2"/>
      <c r="C70" s="4">
        <v>0.15</v>
      </c>
    </row>
    <row r="71" spans="2:3">
      <c r="B71" s="2"/>
      <c r="C71" s="4">
        <v>0.2</v>
      </c>
    </row>
    <row r="72" spans="2:3">
      <c r="B72" s="2"/>
      <c r="C72" s="4">
        <v>0.25</v>
      </c>
    </row>
    <row r="73" spans="2:3">
      <c r="B73" s="2"/>
      <c r="C73" s="4">
        <v>0.3</v>
      </c>
    </row>
    <row r="74" spans="2:3">
      <c r="B74" s="2"/>
      <c r="C74" s="4">
        <v>0.35</v>
      </c>
    </row>
    <row r="75" spans="2:3">
      <c r="B75" s="2"/>
      <c r="C75" s="4">
        <v>0.4</v>
      </c>
    </row>
    <row r="76" spans="2:3">
      <c r="B76" s="2"/>
      <c r="C76" s="4">
        <v>0.45</v>
      </c>
    </row>
    <row r="77" spans="2:3">
      <c r="B77" s="2"/>
      <c r="C77" s="4">
        <v>0.5</v>
      </c>
    </row>
    <row r="78" spans="2:3">
      <c r="B78" s="2"/>
      <c r="C78" s="4">
        <v>0.55000000000000004</v>
      </c>
    </row>
    <row r="79" spans="2:3">
      <c r="B79" s="2"/>
      <c r="C79" s="4">
        <v>0.6</v>
      </c>
    </row>
    <row r="80" spans="2:3">
      <c r="B80" s="2"/>
      <c r="C80" s="4">
        <v>0.65</v>
      </c>
    </row>
    <row r="81" spans="2:3">
      <c r="B81" s="2"/>
      <c r="C81" s="4">
        <v>0.7</v>
      </c>
    </row>
    <row r="82" spans="2:3">
      <c r="B82" s="2"/>
      <c r="C82" s="4">
        <v>0.75</v>
      </c>
    </row>
    <row r="83" spans="2:3">
      <c r="B83" s="2"/>
      <c r="C83" s="4">
        <v>0.8</v>
      </c>
    </row>
    <row r="84" spans="2:3">
      <c r="B84" s="2"/>
      <c r="C84" s="4">
        <v>0.85</v>
      </c>
    </row>
    <row r="85" spans="2:3">
      <c r="B85" s="2"/>
      <c r="C85" s="4">
        <v>0.9</v>
      </c>
    </row>
    <row r="86" spans="2:3">
      <c r="B86" s="2"/>
      <c r="C86" s="4">
        <v>0.95</v>
      </c>
    </row>
    <row r="87" spans="2:3">
      <c r="B87" s="2"/>
      <c r="C87" s="4">
        <v>1</v>
      </c>
    </row>
    <row r="88" spans="2:3">
      <c r="B88" s="2"/>
    </row>
  </sheetData>
  <sheetProtection algorithmName="SHA-512" hashValue="6dnbE8uVNHhJ0RiV4KuZ2izfSdpDgdf04unagCmNpYclgbV8fKO+qUikCQhky5QIWjKSAdjYsdZGZqwYJQCTCQ==" saltValue="4VhnW6ZlUaqw4VeVBXFyrQ==" spinCount="100000" sheet="1" objects="1" scenarios="1" selectLockedCell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fc45f1-e775-430c-9f20-71df9f4be7f6" xsi:nil="true"/>
    <lcf76f155ced4ddcb4097134ff3c332f xmlns="44cf0be2-c87d-497a-acc5-55489c5e9d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1A1CE6CBDD0A48BCC7A348C185C407" ma:contentTypeVersion="12" ma:contentTypeDescription="Een nieuw document maken." ma:contentTypeScope="" ma:versionID="3f73ec7db868f2b30e577902a2461a7e">
  <xsd:schema xmlns:xsd="http://www.w3.org/2001/XMLSchema" xmlns:xs="http://www.w3.org/2001/XMLSchema" xmlns:p="http://schemas.microsoft.com/office/2006/metadata/properties" xmlns:ns2="44cf0be2-c87d-497a-acc5-55489c5e9dd0" xmlns:ns3="b0fc45f1-e775-430c-9f20-71df9f4be7f6" targetNamespace="http://schemas.microsoft.com/office/2006/metadata/properties" ma:root="true" ma:fieldsID="b2a0618eaf64e1a75ff76719377ca88c" ns2:_="" ns3:_="">
    <xsd:import namespace="44cf0be2-c87d-497a-acc5-55489c5e9dd0"/>
    <xsd:import namespace="b0fc45f1-e775-430c-9f20-71df9f4be7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f0be2-c87d-497a-acc5-55489c5e9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0b4aa8ae-0c85-49e7-9006-a854447ab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c45f1-e775-430c-9f20-71df9f4be7f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c1b0e4-c18f-4e41-9094-722e414259a9}" ma:internalName="TaxCatchAll" ma:showField="CatchAllData" ma:web="b0fc45f1-e775-430c-9f20-71df9f4be7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2BB169-7BC6-4FB2-86D7-36AF9535CC41}"/>
</file>

<file path=customXml/itemProps2.xml><?xml version="1.0" encoding="utf-8"?>
<ds:datastoreItem xmlns:ds="http://schemas.openxmlformats.org/officeDocument/2006/customXml" ds:itemID="{FC422C57-57AE-4870-8773-DA825E7BF849}"/>
</file>

<file path=customXml/itemProps3.xml><?xml version="1.0" encoding="utf-8"?>
<ds:datastoreItem xmlns:ds="http://schemas.openxmlformats.org/officeDocument/2006/customXml" ds:itemID="{885361C8-8CF1-44DD-A92F-8F6B02B18F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Klei, Bas van der</dc:creator>
  <cp:keywords/>
  <dc:description/>
  <cp:lastModifiedBy/>
  <cp:revision/>
  <dcterms:created xsi:type="dcterms:W3CDTF">2015-03-18T08:21:21Z</dcterms:created>
  <dcterms:modified xsi:type="dcterms:W3CDTF">2026-02-26T12:57:38Z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0x010100CF1A1CE6CBDD0A48BCC7A348C185C407</vt:lpwstr>
  </property>
  <property fmtid="{D5CDD505-2E9C-101B-9397-08002B2CF9AE}" pid="3" name="MediaServiceImageTags">
    <vt:lpwstr/>
  </property>
  <property fmtid="{D5CDD505-2E9C-101B-9397-08002B2CF9AE}" pid="4" name="DP_x0020_Trefwoorden">
    <vt:lpwstr/>
  </property>
  <property fmtid="{D5CDD505-2E9C-101B-9397-08002B2CF9AE}" pid="5" name="lcf76f155ced4ddcb4097134ff3c332f">
    <vt:lpwstr/>
  </property>
  <property fmtid="{D5CDD505-2E9C-101B-9397-08002B2CF9AE}" pid="6" name="DP Trefwoorden">
    <vt:lpwstr/>
  </property>
  <property fmtid="{D5CDD505-2E9C-101B-9397-08002B2CF9AE}" pid="7" name="_dlc_DocIdItemGuid">
    <vt:lpwstr>af71115c-f884-421b-bb2c-5a2f8fd5bd60</vt:lpwstr>
  </property>
</Properties>
</file>